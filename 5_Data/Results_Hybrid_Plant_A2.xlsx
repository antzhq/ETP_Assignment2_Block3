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" sheetId="1" state="visible" r:id="rId1"/>
    <sheet xmlns:r="http://schemas.openxmlformats.org/officeDocument/2006/relationships" name="June hourly" sheetId="2" state="visible" r:id="rId2"/>
    <sheet xmlns:r="http://schemas.openxmlformats.org/officeDocument/2006/relationships" name="December hourly" sheetId="3" state="visible" r:id="rId3"/>
    <sheet xmlns:r="http://schemas.openxmlformats.org/officeDocument/2006/relationships" name="Q10 wind efficiency" sheetId="4" state="visible" r:id="rId4"/>
    <sheet xmlns:r="http://schemas.openxmlformats.org/officeDocument/2006/relationships" name="Wind-ethanol trade-of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</font>
    <font>
      <name val="Arial"/>
      <b val="1"/>
      <color rgb="00FFFFFF"/>
    </font>
    <font>
      <name val="Arial"/>
      <b val="1"/>
    </font>
    <font>
      <name val="Arial"/>
    </font>
    <font>
      <name val="Arial"/>
      <color rgb="000000FF"/>
    </font>
  </fonts>
  <fills count="5">
    <fill>
      <patternFill/>
    </fill>
    <fill>
      <patternFill patternType="gray125"/>
    </fill>
    <fill>
      <patternFill patternType="solid">
        <fgColor rgb="002E3A48"/>
      </patternFill>
    </fill>
    <fill>
      <patternFill patternType="solid">
        <fgColor rgb="00FFFF00"/>
      </patternFill>
    </fill>
    <fill>
      <patternFill patternType="solid">
        <fgColor rgb="00EEF1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3" borderId="0" pivotButton="0" quotePrefix="0" xfId="0"/>
    <xf numFmtId="1" fontId="5" fillId="0" borderId="0" pivotButton="0" quotePrefix="0" xfId="0"/>
    <xf numFmtId="2" fontId="5" fillId="0" borderId="0" pivotButton="0" quotePrefix="0" xfId="0"/>
    <xf numFmtId="164" fontId="5" fillId="0" borderId="0" pivotButton="0" quotePrefix="0" xfId="0"/>
    <xf numFmtId="0" fontId="4" fillId="4" borderId="0" pivotButton="0" quotePrefix="0" xfId="0"/>
    <xf numFmtId="0" fontId="0" fillId="4" borderId="0" pivotButton="0" quotePrefix="0" xfId="0"/>
    <xf numFmtId="165" fontId="4" fillId="4" borderId="0" pivotButton="0" quotePrefix="0" xfId="0"/>
    <xf numFmtId="3" fontId="4" fillId="4" borderId="0" pivotButton="0" quotePrefix="0" xfId="0"/>
    <xf numFmtId="166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30" customWidth="1" min="4" max="4"/>
  </cols>
  <sheetData>
    <row r="1">
      <c r="A1" s="1" t="inlineStr">
        <is>
          <t>Assignment 2: hybrid plant design and key results</t>
        </is>
      </c>
    </row>
    <row r="2">
      <c r="A2" s="2" t="inlineStr">
        <is>
          <t>Blue = given or assumed input. Yellow = result of the optimisation.</t>
        </is>
      </c>
    </row>
    <row r="4" ht="24" customHeight="1">
      <c r="A4" s="3" t="inlineStr">
        <is>
          <t>Quantity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Symbol in the mathematical model</t>
        </is>
      </c>
    </row>
    <row r="5">
      <c r="A5" s="4" t="inlineStr">
        <is>
          <t>Inputs</t>
        </is>
      </c>
    </row>
    <row r="6">
      <c r="A6" s="5" t="inlineStr">
        <is>
          <t>Turbine efficiency as fraction of the Betz limit</t>
        </is>
      </c>
      <c r="B6" s="6" t="n">
        <v>0.85</v>
      </c>
      <c r="C6" s="5" t="inlineStr">
        <is>
          <t>fraction</t>
        </is>
      </c>
      <c r="D6" s="2" t="inlineStr">
        <is>
          <t>Frac_of Betz</t>
        </is>
      </c>
    </row>
    <row r="7">
      <c r="A7" s="5" t="inlineStr">
        <is>
          <t>Rotor radius</t>
        </is>
      </c>
      <c r="B7" s="6" t="n">
        <v>36.5</v>
      </c>
      <c r="C7" s="5" t="inlineStr">
        <is>
          <t>m</t>
        </is>
      </c>
      <c r="D7" s="2" t="inlineStr">
        <is>
          <t>Radius_rotor</t>
        </is>
      </c>
    </row>
    <row r="8">
      <c r="A8" s="5" t="inlineStr">
        <is>
          <t>Air density (assumed, sea level)</t>
        </is>
      </c>
      <c r="B8" s="6" t="n">
        <v>1.225</v>
      </c>
      <c r="C8" s="5" t="inlineStr">
        <is>
          <t>kg/m³</t>
        </is>
      </c>
      <c r="D8" s="2" t="inlineStr">
        <is>
          <t>Density_air</t>
        </is>
      </c>
    </row>
    <row r="9">
      <c r="A9" s="5" t="inlineStr">
        <is>
          <t>Ethanol higher heating value</t>
        </is>
      </c>
      <c r="B9" s="6" t="n">
        <v>29.7</v>
      </c>
      <c r="C9" s="5" t="inlineStr">
        <is>
          <t>MJ/kg</t>
        </is>
      </c>
      <c r="D9" s="2" t="inlineStr">
        <is>
          <t>HHV_ethanol</t>
        </is>
      </c>
    </row>
    <row r="10">
      <c r="A10" s="5" t="inlineStr">
        <is>
          <t>Heat of evaporation of water</t>
        </is>
      </c>
      <c r="B10" s="6" t="n">
        <v>2.5</v>
      </c>
      <c r="C10" s="5" t="inlineStr">
        <is>
          <t>MJ/kg</t>
        </is>
      </c>
      <c r="D10" s="2" t="inlineStr">
        <is>
          <t>H_evap water</t>
        </is>
      </c>
    </row>
    <row r="11">
      <c r="A11" s="5" t="inlineStr">
        <is>
          <t>Water formed per kg of ethanol (from Q2)</t>
        </is>
      </c>
      <c r="B11" s="6" t="n">
        <v>1.173106142826134</v>
      </c>
      <c r="C11" s="5" t="inlineStr">
        <is>
          <t>kg/kg</t>
        </is>
      </c>
      <c r="D11" s="2" t="inlineStr">
        <is>
          <t>Mass_water per kg ethanol</t>
        </is>
      </c>
    </row>
    <row r="12">
      <c r="A12" s="5" t="inlineStr">
        <is>
          <t>Ethanol lower heating value</t>
        </is>
      </c>
      <c r="B12" s="6" t="n">
        <v>26.76723464293466</v>
      </c>
      <c r="C12" s="5" t="inlineStr">
        <is>
          <t>MJ/kg</t>
        </is>
      </c>
      <c r="D12" s="2" t="inlineStr">
        <is>
          <t>LHV_ethanol</t>
        </is>
      </c>
    </row>
    <row r="13">
      <c r="A13" s="5" t="inlineStr">
        <is>
          <t>Rankine cycle efficiency</t>
        </is>
      </c>
      <c r="B13" s="6" t="n">
        <v>0.42</v>
      </c>
      <c r="C13" s="5" t="inlineStr">
        <is>
          <t>fraction</t>
        </is>
      </c>
      <c r="D13" s="2" t="inlineStr">
        <is>
          <t>Eff_rankine</t>
        </is>
      </c>
    </row>
    <row r="14">
      <c r="A14" s="5" t="inlineStr">
        <is>
          <t>Minimum CSP share of all electricity produced (surplus included)</t>
        </is>
      </c>
      <c r="B14" s="6" t="n">
        <v>0.6</v>
      </c>
      <c r="C14" s="5" t="inlineStr">
        <is>
          <t>fraction</t>
        </is>
      </c>
      <c r="D14" s="2" t="inlineStr">
        <is>
          <t>Share_CSP,min</t>
        </is>
      </c>
    </row>
    <row r="15">
      <c r="A15" s="4" t="inlineStr">
        <is>
          <t>Results</t>
        </is>
      </c>
    </row>
    <row r="16">
      <c r="A16" s="5" t="inlineStr">
        <is>
          <t>Number of wind turbines (Q6)</t>
        </is>
      </c>
      <c r="B16" s="7" t="n">
        <v>12</v>
      </c>
      <c r="C16" s="5" t="inlineStr">
        <is>
          <t>units</t>
        </is>
      </c>
      <c r="D16" s="2" t="inlineStr">
        <is>
          <t>Count_turbines</t>
        </is>
      </c>
    </row>
    <row r="17">
      <c r="A17" s="5" t="inlineStr">
        <is>
          <t>Number of heliostats (Q8)</t>
        </is>
      </c>
      <c r="B17" s="7" t="n">
        <v>562</v>
      </c>
      <c r="C17" s="5" t="inlineStr">
        <is>
          <t>units</t>
        </is>
      </c>
      <c r="D17" s="2" t="inlineStr">
        <is>
          <t>Count_heliostats</t>
        </is>
      </c>
    </row>
    <row r="18">
      <c r="A18" s="5" t="inlineStr">
        <is>
          <t>Number of PVT panels (Q8)</t>
        </is>
      </c>
      <c r="B18" s="7" t="n">
        <v>9549</v>
      </c>
      <c r="C18" s="5" t="inlineStr">
        <is>
          <t>units</t>
        </is>
      </c>
      <c r="D18" s="2" t="inlineStr">
        <is>
          <t>Count_PVT panels</t>
        </is>
      </c>
    </row>
    <row r="19">
      <c r="A19" s="5" t="inlineStr">
        <is>
          <t>Heliostats in Assignment 1</t>
        </is>
      </c>
      <c r="B19" s="6" t="n">
        <v>215</v>
      </c>
      <c r="C19" s="5" t="inlineStr">
        <is>
          <t>units</t>
        </is>
      </c>
      <c r="D19" s="2" t="inlineStr"/>
    </row>
    <row r="20">
      <c r="A20" s="5" t="inlineStr">
        <is>
          <t>PVT panels in Assignment 1</t>
        </is>
      </c>
      <c r="B20" s="6" t="n">
        <v>9559</v>
      </c>
      <c r="C20" s="5" t="inlineStr">
        <is>
          <t>units</t>
        </is>
      </c>
      <c r="D2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June 2019: hourly dispatch of the hybrid plant</t>
        </is>
      </c>
    </row>
    <row r="2">
      <c r="A2" s="2" t="inlineStr">
        <is>
          <t>Generated = what the installed units can produce. Used = delivered to demand. Surplus = generated − used (column formula).</t>
        </is>
      </c>
    </row>
    <row r="3" ht="62" customHeight="1">
      <c r="A3" s="3" t="inlineStr">
        <is>
          <t>Hour</t>
        </is>
      </c>
      <c r="B3" s="3" t="inlineStr">
        <is>
          <t>Irradiance
[W/m²]</t>
        </is>
      </c>
      <c r="C3" s="3" t="inlineStr">
        <is>
          <t>Wind speed
[m/s]</t>
        </is>
      </c>
      <c r="D3" s="3" t="inlineStr">
        <is>
          <t>Electricity demand
[GJ]</t>
        </is>
      </c>
      <c r="E3" s="3" t="inlineStr">
        <is>
          <t>CSP generated
[GJ]</t>
        </is>
      </c>
      <c r="F3" s="3" t="inlineStr">
        <is>
          <t>PVT generated
[GJ]</t>
        </is>
      </c>
      <c r="G3" s="3" t="inlineStr">
        <is>
          <t>Wind generated
[GJ]</t>
        </is>
      </c>
      <c r="H3" s="3" t="inlineStr">
        <is>
          <t>CSP used
[GJ]</t>
        </is>
      </c>
      <c r="I3" s="3" t="inlineStr">
        <is>
          <t>PVT used
[GJ]</t>
        </is>
      </c>
      <c r="J3" s="3" t="inlineStr">
        <is>
          <t>Wind used
[GJ]</t>
        </is>
      </c>
      <c r="K3" s="3" t="inlineStr">
        <is>
          <t>Ethanol-fired Rankine
[GJ]</t>
        </is>
      </c>
      <c r="L3" s="3" t="inlineStr">
        <is>
          <t>Unmet demand
[GJ]</t>
        </is>
      </c>
      <c r="M3" s="3" t="inlineStr">
        <is>
          <t>Surplus
[GJ]</t>
        </is>
      </c>
      <c r="N3" s="3" t="inlineStr">
        <is>
          <t>Ethanol burned
[kg/h]</t>
        </is>
      </c>
      <c r="O3" s="3" t="inlineStr">
        <is>
          <t>Ethanol burned
[kg/s]</t>
        </is>
      </c>
      <c r="P3" s="3" t="inlineStr">
        <is>
          <t>PVT heat
[GJ]</t>
        </is>
      </c>
      <c r="Q3" s="3" t="inlineStr">
        <is>
          <t>Heat demand
[GJ]</t>
        </is>
      </c>
      <c r="R3" s="3" t="inlineStr">
        <is>
          <t>Assignment 1: unmet
[GJ]</t>
        </is>
      </c>
    </row>
    <row r="4">
      <c r="A4" s="8" t="n">
        <v>0</v>
      </c>
      <c r="B4" s="9" t="n">
        <v>0</v>
      </c>
      <c r="C4" s="9" t="n">
        <v>0</v>
      </c>
      <c r="D4" s="9" t="n">
        <v>4.9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4.9</v>
      </c>
      <c r="L4" s="9" t="n">
        <v>0</v>
      </c>
      <c r="M4" s="9">
        <f>E4+F4+G4-H4-I4-J4</f>
        <v/>
      </c>
      <c r="N4" s="8" t="n">
        <v>435.856256</v>
      </c>
      <c r="O4" s="10">
        <f>N4/3600</f>
        <v/>
      </c>
      <c r="P4" s="9" t="n">
        <v>0</v>
      </c>
      <c r="Q4" s="9" t="n">
        <v>2.871</v>
      </c>
      <c r="R4" s="9" t="n">
        <v>4.9</v>
      </c>
    </row>
    <row r="5">
      <c r="A5" s="8" t="n">
        <v>1</v>
      </c>
      <c r="B5" s="9" t="n">
        <v>0</v>
      </c>
      <c r="C5" s="9" t="n">
        <v>0</v>
      </c>
      <c r="D5" s="9" t="n">
        <v>2.9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2.9</v>
      </c>
      <c r="L5" s="9" t="n">
        <v>0</v>
      </c>
      <c r="M5" s="9">
        <f>E5+F5+G5-H5-I5-J5</f>
        <v/>
      </c>
      <c r="N5" s="8" t="n">
        <v>257.955743</v>
      </c>
      <c r="O5" s="10">
        <f>N5/3600</f>
        <v/>
      </c>
      <c r="P5" s="9" t="n">
        <v>0</v>
      </c>
      <c r="Q5" s="9" t="n">
        <v>2.508</v>
      </c>
      <c r="R5" s="9" t="n">
        <v>2.9</v>
      </c>
    </row>
    <row r="6">
      <c r="A6" s="8" t="n">
        <v>2</v>
      </c>
      <c r="B6" s="9" t="n">
        <v>0</v>
      </c>
      <c r="C6" s="9" t="n">
        <v>0</v>
      </c>
      <c r="D6" s="9" t="n">
        <v>2.4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2.4</v>
      </c>
      <c r="L6" s="9" t="n">
        <v>0</v>
      </c>
      <c r="M6" s="9">
        <f>E6+F6+G6-H6-I6-J6</f>
        <v/>
      </c>
      <c r="N6" s="8" t="n">
        <v>213.480615</v>
      </c>
      <c r="O6" s="10">
        <f>N6/3600</f>
        <v/>
      </c>
      <c r="P6" s="9" t="n">
        <v>0</v>
      </c>
      <c r="Q6" s="9" t="n">
        <v>2.31</v>
      </c>
      <c r="R6" s="9" t="n">
        <v>2.4</v>
      </c>
    </row>
    <row r="7">
      <c r="A7" s="8" t="n">
        <v>3</v>
      </c>
      <c r="B7" s="9" t="n">
        <v>0</v>
      </c>
      <c r="C7" s="9" t="n">
        <v>0</v>
      </c>
      <c r="D7" s="9" t="n">
        <v>1.9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1.9</v>
      </c>
      <c r="L7" s="9" t="n">
        <v>0</v>
      </c>
      <c r="M7" s="9">
        <f>E7+F7+G7-H7-I7-J7</f>
        <v/>
      </c>
      <c r="N7" s="8" t="n">
        <v>169.005487</v>
      </c>
      <c r="O7" s="10">
        <f>N7/3600</f>
        <v/>
      </c>
      <c r="P7" s="9" t="n">
        <v>0</v>
      </c>
      <c r="Q7" s="9" t="n">
        <v>1.947</v>
      </c>
      <c r="R7" s="9" t="n">
        <v>1.9</v>
      </c>
    </row>
    <row r="8">
      <c r="A8" s="8" t="n">
        <v>4</v>
      </c>
      <c r="B8" s="9" t="n">
        <v>0</v>
      </c>
      <c r="C8" s="9" t="n">
        <v>4.694444</v>
      </c>
      <c r="D8" s="9" t="n">
        <v>1.6</v>
      </c>
      <c r="E8" s="9" t="n">
        <v>0</v>
      </c>
      <c r="F8" s="9" t="n">
        <v>0</v>
      </c>
      <c r="G8" s="9" t="n">
        <v>5.771028</v>
      </c>
      <c r="H8" s="9" t="n">
        <v>0</v>
      </c>
      <c r="I8" s="9" t="n">
        <v>0</v>
      </c>
      <c r="J8" s="9" t="n">
        <v>1.6</v>
      </c>
      <c r="K8" s="9" t="n">
        <v>0</v>
      </c>
      <c r="L8" s="9" t="n">
        <v>0</v>
      </c>
      <c r="M8" s="9">
        <f>E8+F8+G8-H8-I8-J8</f>
        <v/>
      </c>
      <c r="N8" s="8" t="n">
        <v>0</v>
      </c>
      <c r="O8" s="10">
        <f>N8/3600</f>
        <v/>
      </c>
      <c r="P8" s="9" t="n">
        <v>0</v>
      </c>
      <c r="Q8" s="9" t="n">
        <v>2.871</v>
      </c>
      <c r="R8" s="9" t="n">
        <v>1.6</v>
      </c>
    </row>
    <row r="9">
      <c r="A9" s="8" t="n">
        <v>5</v>
      </c>
      <c r="B9" s="9" t="n">
        <v>0</v>
      </c>
      <c r="C9" s="9" t="n">
        <v>4.65</v>
      </c>
      <c r="D9" s="9" t="n">
        <v>2.7</v>
      </c>
      <c r="E9" s="9" t="n">
        <v>0</v>
      </c>
      <c r="F9" s="9" t="n">
        <v>0</v>
      </c>
      <c r="G9" s="9" t="n">
        <v>5.608664</v>
      </c>
      <c r="H9" s="9" t="n">
        <v>0</v>
      </c>
      <c r="I9" s="9" t="n">
        <v>0</v>
      </c>
      <c r="J9" s="9" t="n">
        <v>2.7</v>
      </c>
      <c r="K9" s="9" t="n">
        <v>0</v>
      </c>
      <c r="L9" s="9" t="n">
        <v>0</v>
      </c>
      <c r="M9" s="9">
        <f>E9+F9+G9-H9-I9-J9</f>
        <v/>
      </c>
      <c r="N9" s="8" t="n">
        <v>0</v>
      </c>
      <c r="O9" s="10">
        <f>N9/3600</f>
        <v/>
      </c>
      <c r="P9" s="9" t="n">
        <v>0</v>
      </c>
      <c r="Q9" s="9" t="n">
        <v>4.851</v>
      </c>
      <c r="R9" s="9" t="n">
        <v>2.7</v>
      </c>
    </row>
    <row r="10">
      <c r="A10" s="8" t="n">
        <v>6</v>
      </c>
      <c r="B10" s="9" t="n">
        <v>0</v>
      </c>
      <c r="C10" s="9" t="n">
        <v>4.583333</v>
      </c>
      <c r="D10" s="9" t="n">
        <v>6.2</v>
      </c>
      <c r="E10" s="9" t="n">
        <v>0</v>
      </c>
      <c r="F10" s="9" t="n">
        <v>0</v>
      </c>
      <c r="G10" s="9" t="n">
        <v>5.370873</v>
      </c>
      <c r="H10" s="9" t="n">
        <v>0</v>
      </c>
      <c r="I10" s="9" t="n">
        <v>0</v>
      </c>
      <c r="J10" s="9" t="n">
        <v>5.370873</v>
      </c>
      <c r="K10" s="9" t="n">
        <v>0.8291269999999999</v>
      </c>
      <c r="L10" s="9" t="n">
        <v>0</v>
      </c>
      <c r="M10" s="9">
        <f>E10+F10+G10-H10-I10-J10</f>
        <v/>
      </c>
      <c r="N10" s="8" t="n">
        <v>73.751023</v>
      </c>
      <c r="O10" s="10">
        <f>N10/3600</f>
        <v/>
      </c>
      <c r="P10" s="9" t="n">
        <v>0</v>
      </c>
      <c r="Q10" s="9" t="n">
        <v>6.336</v>
      </c>
      <c r="R10" s="9" t="n">
        <v>6.2</v>
      </c>
    </row>
    <row r="11">
      <c r="A11" s="8" t="n">
        <v>7</v>
      </c>
      <c r="B11" s="9" t="n">
        <v>114</v>
      </c>
      <c r="C11" s="9" t="n">
        <v>4.777778</v>
      </c>
      <c r="D11" s="9" t="n">
        <v>14.8</v>
      </c>
      <c r="E11" s="9" t="n">
        <v>11.063111</v>
      </c>
      <c r="F11" s="9" t="n">
        <v>2.508102</v>
      </c>
      <c r="G11" s="9" t="n">
        <v>6.083849</v>
      </c>
      <c r="H11" s="9" t="n">
        <v>8.716151</v>
      </c>
      <c r="I11" s="9" t="n">
        <v>0</v>
      </c>
      <c r="J11" s="9" t="n">
        <v>6.083849</v>
      </c>
      <c r="K11" s="9" t="n">
        <v>0</v>
      </c>
      <c r="L11" s="9" t="n">
        <v>0</v>
      </c>
      <c r="M11" s="9">
        <f>E11+F11+G11-H11-I11-J11</f>
        <v/>
      </c>
      <c r="N11" s="8" t="n">
        <v>0</v>
      </c>
      <c r="O11" s="10">
        <f>N11/3600</f>
        <v/>
      </c>
      <c r="P11" s="9" t="n">
        <v>0</v>
      </c>
      <c r="Q11" s="9" t="n">
        <v>7.161</v>
      </c>
      <c r="R11" s="9" t="n">
        <v>8.056943</v>
      </c>
    </row>
    <row r="12">
      <c r="A12" s="8" t="n">
        <v>8</v>
      </c>
      <c r="B12" s="9" t="n">
        <v>326</v>
      </c>
      <c r="C12" s="9" t="n">
        <v>4.888889</v>
      </c>
      <c r="D12" s="9" t="n">
        <v>33.2</v>
      </c>
      <c r="E12" s="9" t="n">
        <v>31.636614</v>
      </c>
      <c r="F12" s="9" t="n">
        <v>7.172292</v>
      </c>
      <c r="G12" s="9" t="n">
        <v>6.518251</v>
      </c>
      <c r="H12" s="9" t="n">
        <v>26.681749</v>
      </c>
      <c r="I12" s="9" t="n">
        <v>0</v>
      </c>
      <c r="J12" s="9" t="n">
        <v>6.518251</v>
      </c>
      <c r="K12" s="9" t="n">
        <v>0</v>
      </c>
      <c r="L12" s="9" t="n">
        <v>0</v>
      </c>
      <c r="M12" s="9">
        <f>E12+F12+G12-H12-I12-J12</f>
        <v/>
      </c>
      <c r="N12" s="8" t="n">
        <v>0</v>
      </c>
      <c r="O12" s="10">
        <f>N12/3600</f>
        <v/>
      </c>
      <c r="P12" s="9" t="n">
        <v>0</v>
      </c>
      <c r="Q12" s="9" t="n">
        <v>7.722</v>
      </c>
      <c r="R12" s="9" t="n">
        <v>13.917222</v>
      </c>
    </row>
    <row r="13">
      <c r="A13" s="8" t="n">
        <v>9</v>
      </c>
      <c r="B13" s="9" t="n">
        <v>252</v>
      </c>
      <c r="C13" s="9" t="n">
        <v>4.944444</v>
      </c>
      <c r="D13" s="9" t="n">
        <v>26.9</v>
      </c>
      <c r="E13" s="9" t="n">
        <v>24.455297</v>
      </c>
      <c r="F13" s="9" t="n">
        <v>5.544226</v>
      </c>
      <c r="G13" s="9" t="n">
        <v>6.742999</v>
      </c>
      <c r="H13" s="9" t="n">
        <v>20.157001</v>
      </c>
      <c r="I13" s="9" t="n">
        <v>0</v>
      </c>
      <c r="J13" s="9" t="n">
        <v>6.742999</v>
      </c>
      <c r="K13" s="9" t="n">
        <v>0</v>
      </c>
      <c r="L13" s="9" t="n">
        <v>0</v>
      </c>
      <c r="M13" s="9">
        <f>E13+F13+G13-H13-I13-J13</f>
        <v/>
      </c>
      <c r="N13" s="8" t="n">
        <v>0</v>
      </c>
      <c r="O13" s="10">
        <f>N13/3600</f>
        <v/>
      </c>
      <c r="P13" s="9" t="n">
        <v>0</v>
      </c>
      <c r="Q13" s="9" t="n">
        <v>9.108000000000001</v>
      </c>
      <c r="R13" s="9" t="n">
        <v>11.994294</v>
      </c>
    </row>
    <row r="14">
      <c r="A14" s="8" t="n">
        <v>10</v>
      </c>
      <c r="B14" s="9" t="n">
        <v>431</v>
      </c>
      <c r="C14" s="9" t="n">
        <v>5.138889</v>
      </c>
      <c r="D14" s="9" t="n">
        <v>15.6</v>
      </c>
      <c r="E14" s="9" t="n">
        <v>41.826321</v>
      </c>
      <c r="F14" s="9" t="n">
        <v>9.482386</v>
      </c>
      <c r="G14" s="9" t="n">
        <v>7.570216</v>
      </c>
      <c r="H14" s="9" t="n">
        <v>8.029783999999999</v>
      </c>
      <c r="I14" s="9" t="n">
        <v>0</v>
      </c>
      <c r="J14" s="9" t="n">
        <v>7.570216</v>
      </c>
      <c r="K14" s="9" t="n">
        <v>0</v>
      </c>
      <c r="L14" s="9" t="n">
        <v>0</v>
      </c>
      <c r="M14" s="9">
        <f>E14+F14+G14-H14-I14-J14</f>
        <v/>
      </c>
      <c r="N14" s="8" t="n">
        <v>0</v>
      </c>
      <c r="O14" s="10">
        <f>N14/3600</f>
        <v/>
      </c>
      <c r="P14" s="9" t="n">
        <v>4.170407</v>
      </c>
      <c r="Q14" s="9" t="n">
        <v>11.022</v>
      </c>
      <c r="R14" s="9" t="n">
        <v>0</v>
      </c>
    </row>
    <row r="15">
      <c r="A15" s="8" t="n">
        <v>11</v>
      </c>
      <c r="B15" s="9" t="n">
        <v>579</v>
      </c>
      <c r="C15" s="9" t="n">
        <v>5.261111</v>
      </c>
      <c r="D15" s="9" t="n">
        <v>16.8</v>
      </c>
      <c r="E15" s="9" t="n">
        <v>56.188956</v>
      </c>
      <c r="F15" s="9" t="n">
        <v>12.738519</v>
      </c>
      <c r="G15" s="9" t="n">
        <v>8.12331</v>
      </c>
      <c r="H15" s="9" t="n">
        <v>8.676690000000001</v>
      </c>
      <c r="I15" s="9" t="n">
        <v>0</v>
      </c>
      <c r="J15" s="9" t="n">
        <v>8.12331</v>
      </c>
      <c r="K15" s="9" t="n">
        <v>0</v>
      </c>
      <c r="L15" s="9" t="n">
        <v>0</v>
      </c>
      <c r="M15" s="9">
        <f>E15+F15+G15-H15-I15-J15</f>
        <v/>
      </c>
      <c r="N15" s="8" t="n">
        <v>0</v>
      </c>
      <c r="O15" s="10">
        <f>N15/3600</f>
        <v/>
      </c>
      <c r="P15" s="9" t="n">
        <v>18.764152</v>
      </c>
      <c r="Q15" s="9" t="n">
        <v>11.517</v>
      </c>
      <c r="R15" s="9" t="n">
        <v>0</v>
      </c>
    </row>
    <row r="16">
      <c r="A16" s="8" t="n">
        <v>12</v>
      </c>
      <c r="B16" s="9" t="n">
        <v>687</v>
      </c>
      <c r="C16" s="9" t="n">
        <v>5.375</v>
      </c>
      <c r="D16" s="9" t="n">
        <v>13.2</v>
      </c>
      <c r="E16" s="9" t="n">
        <v>66.669798</v>
      </c>
      <c r="F16" s="9" t="n">
        <v>15.114616</v>
      </c>
      <c r="G16" s="9" t="n">
        <v>8.662355</v>
      </c>
      <c r="H16" s="9" t="n">
        <v>4.537645</v>
      </c>
      <c r="I16" s="9" t="n">
        <v>0</v>
      </c>
      <c r="J16" s="9" t="n">
        <v>8.662355</v>
      </c>
      <c r="K16" s="9" t="n">
        <v>0</v>
      </c>
      <c r="L16" s="9" t="n">
        <v>0</v>
      </c>
      <c r="M16" s="9">
        <f>E16+F16+G16-H16-I16-J16</f>
        <v/>
      </c>
      <c r="N16" s="8" t="n">
        <v>0</v>
      </c>
      <c r="O16" s="10">
        <f>N16/3600</f>
        <v/>
      </c>
      <c r="P16" s="9" t="n">
        <v>28.138183</v>
      </c>
      <c r="Q16" s="9" t="n">
        <v>12.771</v>
      </c>
      <c r="R16" s="9" t="n">
        <v>0</v>
      </c>
    </row>
    <row r="17">
      <c r="A17" s="8" t="n">
        <v>13</v>
      </c>
      <c r="B17" s="9" t="n">
        <v>746</v>
      </c>
      <c r="C17" s="9" t="n">
        <v>5.483333</v>
      </c>
      <c r="D17" s="9" t="n">
        <v>14.3</v>
      </c>
      <c r="E17" s="9" t="n">
        <v>72.395442</v>
      </c>
      <c r="F17" s="9" t="n">
        <v>16.412668</v>
      </c>
      <c r="G17" s="9" t="n">
        <v>9.196752999999999</v>
      </c>
      <c r="H17" s="9" t="n">
        <v>5.103247</v>
      </c>
      <c r="I17" s="9" t="n">
        <v>0</v>
      </c>
      <c r="J17" s="9" t="n">
        <v>9.196752999999999</v>
      </c>
      <c r="K17" s="9" t="n">
        <v>0</v>
      </c>
      <c r="L17" s="9" t="n">
        <v>0</v>
      </c>
      <c r="M17" s="9">
        <f>E17+F17+G17-H17-I17-J17</f>
        <v/>
      </c>
      <c r="N17" s="8" t="n">
        <v>0</v>
      </c>
      <c r="O17" s="10">
        <f>N17/3600</f>
        <v/>
      </c>
      <c r="P17" s="9" t="n">
        <v>33.745799</v>
      </c>
      <c r="Q17" s="9" t="n">
        <v>14.322</v>
      </c>
      <c r="R17" s="9" t="n">
        <v>0</v>
      </c>
    </row>
    <row r="18">
      <c r="A18" s="8" t="n">
        <v>14</v>
      </c>
      <c r="B18" s="9" t="n">
        <v>751</v>
      </c>
      <c r="C18" s="9" t="n">
        <v>5.563889</v>
      </c>
      <c r="D18" s="9" t="n">
        <v>13.1</v>
      </c>
      <c r="E18" s="9" t="n">
        <v>72.880667</v>
      </c>
      <c r="F18" s="9" t="n">
        <v>16.522673</v>
      </c>
      <c r="G18" s="9" t="n">
        <v>9.608065</v>
      </c>
      <c r="H18" s="9" t="n">
        <v>3.491935</v>
      </c>
      <c r="I18" s="9" t="n">
        <v>0</v>
      </c>
      <c r="J18" s="9" t="n">
        <v>9.608065</v>
      </c>
      <c r="K18" s="9" t="n">
        <v>0</v>
      </c>
      <c r="L18" s="9" t="n">
        <v>0</v>
      </c>
      <c r="M18" s="9">
        <f>E18+F18+G18-H18-I18-J18</f>
        <v/>
      </c>
      <c r="N18" s="8" t="n">
        <v>0</v>
      </c>
      <c r="O18" s="10">
        <f>N18/3600</f>
        <v/>
      </c>
      <c r="P18" s="9" t="n">
        <v>35.202671</v>
      </c>
      <c r="Q18" s="9" t="n">
        <v>16.038</v>
      </c>
      <c r="R18" s="9" t="n">
        <v>0</v>
      </c>
    </row>
    <row r="19">
      <c r="A19" s="8" t="n">
        <v>15</v>
      </c>
      <c r="B19" s="9" t="n">
        <v>688</v>
      </c>
      <c r="C19" s="9" t="n">
        <v>5.616667</v>
      </c>
      <c r="D19" s="9" t="n">
        <v>16.9</v>
      </c>
      <c r="E19" s="9" t="n">
        <v>66.766842</v>
      </c>
      <c r="F19" s="9" t="n">
        <v>15.136616</v>
      </c>
      <c r="G19" s="9" t="n">
        <v>9.884086</v>
      </c>
      <c r="H19" s="9" t="n">
        <v>7.015914</v>
      </c>
      <c r="I19" s="9" t="n">
        <v>0</v>
      </c>
      <c r="J19" s="9" t="n">
        <v>9.884086</v>
      </c>
      <c r="K19" s="9" t="n">
        <v>0</v>
      </c>
      <c r="L19" s="9" t="n">
        <v>0</v>
      </c>
      <c r="M19" s="9">
        <f>E19+F19+G19-H19-I19-J19</f>
        <v/>
      </c>
      <c r="N19" s="8" t="n">
        <v>0</v>
      </c>
      <c r="O19" s="10">
        <f>N19/3600</f>
        <v/>
      </c>
      <c r="P19" s="9" t="n">
        <v>31.43268</v>
      </c>
      <c r="Q19" s="9" t="n">
        <v>17.622</v>
      </c>
      <c r="R19" s="9" t="n">
        <v>0</v>
      </c>
    </row>
    <row r="20">
      <c r="A20" s="8" t="n">
        <v>16</v>
      </c>
      <c r="B20" s="9" t="n">
        <v>543</v>
      </c>
      <c r="C20" s="9" t="n">
        <v>5.694444</v>
      </c>
      <c r="D20" s="9" t="n">
        <v>23.4</v>
      </c>
      <c r="E20" s="9" t="n">
        <v>52.695342</v>
      </c>
      <c r="F20" s="9" t="n">
        <v>11.946487</v>
      </c>
      <c r="G20" s="9" t="n">
        <v>10.300414</v>
      </c>
      <c r="H20" s="9" t="n">
        <v>13.099586</v>
      </c>
      <c r="I20" s="9" t="n">
        <v>0</v>
      </c>
      <c r="J20" s="9" t="n">
        <v>10.300414</v>
      </c>
      <c r="K20" s="9" t="n">
        <v>0</v>
      </c>
      <c r="L20" s="9" t="n">
        <v>0</v>
      </c>
      <c r="M20" s="9">
        <f>E20+F20+G20-H20-I20-J20</f>
        <v/>
      </c>
      <c r="N20" s="8" t="n">
        <v>0</v>
      </c>
      <c r="O20" s="10">
        <f>N20/3600</f>
        <v/>
      </c>
      <c r="P20" s="9" t="n">
        <v>19.21462</v>
      </c>
      <c r="Q20" s="9" t="n">
        <v>18.018</v>
      </c>
      <c r="R20" s="9" t="n">
        <v>0</v>
      </c>
    </row>
    <row r="21">
      <c r="A21" s="8" t="n">
        <v>17</v>
      </c>
      <c r="B21" s="9" t="n">
        <v>475</v>
      </c>
      <c r="C21" s="9" t="n">
        <v>5.583333</v>
      </c>
      <c r="D21" s="9" t="n">
        <v>32.3</v>
      </c>
      <c r="E21" s="9" t="n">
        <v>46.096294</v>
      </c>
      <c r="F21" s="9" t="n">
        <v>10.450426</v>
      </c>
      <c r="G21" s="9" t="n">
        <v>9.709151</v>
      </c>
      <c r="H21" s="9" t="n">
        <v>22.590849</v>
      </c>
      <c r="I21" s="9" t="n">
        <v>0</v>
      </c>
      <c r="J21" s="9" t="n">
        <v>9.709151</v>
      </c>
      <c r="K21" s="9" t="n">
        <v>0</v>
      </c>
      <c r="L21" s="9" t="n">
        <v>0</v>
      </c>
      <c r="M21" s="9">
        <f>E21+F21+G21-H21-I21-J21</f>
        <v/>
      </c>
      <c r="N21" s="8" t="n">
        <v>0</v>
      </c>
      <c r="O21" s="10">
        <f>N21/3600</f>
        <v/>
      </c>
      <c r="P21" s="9" t="n">
        <v>12.915213</v>
      </c>
      <c r="Q21" s="9" t="n">
        <v>17.127</v>
      </c>
      <c r="R21" s="9" t="n">
        <v>4.203927</v>
      </c>
    </row>
    <row r="22">
      <c r="A22" s="8" t="n">
        <v>18</v>
      </c>
      <c r="B22" s="9" t="n">
        <v>303</v>
      </c>
      <c r="C22" s="9" t="n">
        <v>5.458333</v>
      </c>
      <c r="D22" s="9" t="n">
        <v>41.6</v>
      </c>
      <c r="E22" s="9" t="n">
        <v>29.404583</v>
      </c>
      <c r="F22" s="9" t="n">
        <v>6.666271</v>
      </c>
      <c r="G22" s="9" t="n">
        <v>9.071534</v>
      </c>
      <c r="H22" s="9" t="n">
        <v>29.404583</v>
      </c>
      <c r="I22" s="9" t="n">
        <v>3.123882</v>
      </c>
      <c r="J22" s="9" t="n">
        <v>9.071534</v>
      </c>
      <c r="K22" s="9" t="n">
        <v>0</v>
      </c>
      <c r="L22" s="9" t="n">
        <v>0</v>
      </c>
      <c r="M22" s="9">
        <f>E22+F22+G22-H22-I22-J22</f>
        <v/>
      </c>
      <c r="N22" s="8" t="n">
        <v>0</v>
      </c>
      <c r="O22" s="10">
        <f>N22/3600</f>
        <v/>
      </c>
      <c r="P22" s="9" t="n">
        <v>0</v>
      </c>
      <c r="Q22" s="9" t="n">
        <v>16.071</v>
      </c>
      <c r="R22" s="9" t="n">
        <v>23.677663</v>
      </c>
    </row>
    <row r="23">
      <c r="A23" s="8" t="n">
        <v>19</v>
      </c>
      <c r="B23" s="9" t="n">
        <v>109</v>
      </c>
      <c r="C23" s="9" t="n">
        <v>5.091667</v>
      </c>
      <c r="D23" s="9" t="n">
        <v>56.3</v>
      </c>
      <c r="E23" s="9" t="n">
        <v>10.577886</v>
      </c>
      <c r="F23" s="9" t="n">
        <v>2.398098</v>
      </c>
      <c r="G23" s="9" t="n">
        <v>7.363435</v>
      </c>
      <c r="H23" s="9" t="n">
        <v>10.577886</v>
      </c>
      <c r="I23" s="9" t="n">
        <v>2.398098</v>
      </c>
      <c r="J23" s="9" t="n">
        <v>7.363435</v>
      </c>
      <c r="K23" s="9" t="n">
        <v>35.960581</v>
      </c>
      <c r="L23" s="9" t="n">
        <v>0</v>
      </c>
      <c r="M23" s="9">
        <f>E23+F23+G23-H23-I23-J23</f>
        <v/>
      </c>
      <c r="N23" s="8" t="n">
        <v>3198.702861</v>
      </c>
      <c r="O23" s="10">
        <f>N23/3600</f>
        <v/>
      </c>
      <c r="P23" s="9" t="n">
        <v>0</v>
      </c>
      <c r="Q23" s="9" t="n">
        <v>13.761</v>
      </c>
      <c r="R23" s="9" t="n">
        <v>49.852691</v>
      </c>
    </row>
    <row r="24">
      <c r="A24" s="8" t="n">
        <v>20</v>
      </c>
      <c r="B24" s="9" t="n">
        <v>96</v>
      </c>
      <c r="C24" s="9" t="n">
        <v>4.791667</v>
      </c>
      <c r="D24" s="9" t="n">
        <v>42.4</v>
      </c>
      <c r="E24" s="9" t="n">
        <v>9.316304000000001</v>
      </c>
      <c r="F24" s="9" t="n">
        <v>2.112086</v>
      </c>
      <c r="G24" s="9" t="n">
        <v>6.13706</v>
      </c>
      <c r="H24" s="9" t="n">
        <v>9.316304000000001</v>
      </c>
      <c r="I24" s="9" t="n">
        <v>2.112086</v>
      </c>
      <c r="J24" s="9" t="n">
        <v>6.13706</v>
      </c>
      <c r="K24" s="9" t="n">
        <v>24.83455</v>
      </c>
      <c r="L24" s="9" t="n">
        <v>0</v>
      </c>
      <c r="M24" s="9">
        <f>E24+F24+G24-H24-I24-J24</f>
        <v/>
      </c>
      <c r="N24" s="8" t="n">
        <v>2209.039606</v>
      </c>
      <c r="O24" s="10">
        <f>N24/3600</f>
        <v/>
      </c>
      <c r="P24" s="9" t="n">
        <v>0</v>
      </c>
      <c r="Q24" s="9" t="n">
        <v>11.319</v>
      </c>
      <c r="R24" s="9" t="n">
        <v>36.721636</v>
      </c>
    </row>
    <row r="25">
      <c r="A25" s="8" t="n">
        <v>21</v>
      </c>
      <c r="B25" s="9" t="n">
        <v>0</v>
      </c>
      <c r="C25" s="9" t="n">
        <v>4.583333</v>
      </c>
      <c r="D25" s="9" t="n">
        <v>33.8</v>
      </c>
      <c r="E25" s="9" t="n">
        <v>0</v>
      </c>
      <c r="F25" s="9" t="n">
        <v>0</v>
      </c>
      <c r="G25" s="9" t="n">
        <v>5.370873</v>
      </c>
      <c r="H25" s="9" t="n">
        <v>0</v>
      </c>
      <c r="I25" s="9" t="n">
        <v>0</v>
      </c>
      <c r="J25" s="9" t="n">
        <v>5.370873</v>
      </c>
      <c r="K25" s="9" t="n">
        <v>28.429127</v>
      </c>
      <c r="L25" s="9" t="n">
        <v>0</v>
      </c>
      <c r="M25" s="9">
        <f>E25+F25+G25-H25-I25-J25</f>
        <v/>
      </c>
      <c r="N25" s="8" t="n">
        <v>2528.778096</v>
      </c>
      <c r="O25" s="10">
        <f>N25/3600</f>
        <v/>
      </c>
      <c r="P25" s="9" t="n">
        <v>0</v>
      </c>
      <c r="Q25" s="9" t="n">
        <v>10.494</v>
      </c>
      <c r="R25" s="9" t="n">
        <v>33.8</v>
      </c>
    </row>
    <row r="26">
      <c r="A26" s="8" t="n">
        <v>22</v>
      </c>
      <c r="B26" s="9" t="n">
        <v>0</v>
      </c>
      <c r="C26" s="9" t="n">
        <v>0</v>
      </c>
      <c r="D26" s="9" t="n">
        <v>17.5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17.5</v>
      </c>
      <c r="L26" s="9" t="n">
        <v>0</v>
      </c>
      <c r="M26" s="9">
        <f>E26+F26+G26-H26-I26-J26</f>
        <v/>
      </c>
      <c r="N26" s="8" t="n">
        <v>1556.629485</v>
      </c>
      <c r="O26" s="10">
        <f>N26/3600</f>
        <v/>
      </c>
      <c r="P26" s="9" t="n">
        <v>0</v>
      </c>
      <c r="Q26" s="9" t="n">
        <v>9.834</v>
      </c>
      <c r="R26" s="9" t="n">
        <v>17.5</v>
      </c>
    </row>
    <row r="27">
      <c r="A27" s="8" t="n">
        <v>23</v>
      </c>
      <c r="B27" s="9" t="n">
        <v>0</v>
      </c>
      <c r="C27" s="9" t="n">
        <v>0</v>
      </c>
      <c r="D27" s="9" t="n">
        <v>3.6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3.6</v>
      </c>
      <c r="L27" s="9" t="n">
        <v>0</v>
      </c>
      <c r="M27" s="9">
        <f>E27+F27+G27-H27-I27-J27</f>
        <v/>
      </c>
      <c r="N27" s="8" t="n">
        <v>320.220923</v>
      </c>
      <c r="O27" s="10">
        <f>N27/3600</f>
        <v/>
      </c>
      <c r="P27" s="9" t="n">
        <v>0</v>
      </c>
      <c r="Q27" s="9" t="n">
        <v>9.867000000000001</v>
      </c>
      <c r="R27" s="9" t="n">
        <v>3.6</v>
      </c>
    </row>
    <row r="28">
      <c r="A28" s="11" t="inlineStr">
        <is>
          <t>Day total</t>
        </is>
      </c>
      <c r="B28" s="12" t="n"/>
      <c r="C28" s="12" t="n"/>
      <c r="D28" s="13">
        <f>SUM(D4:D27)</f>
        <v/>
      </c>
      <c r="E28" s="13">
        <f>SUM(E4:E27)</f>
        <v/>
      </c>
      <c r="F28" s="13">
        <f>SUM(F4:F27)</f>
        <v/>
      </c>
      <c r="G28" s="13">
        <f>SUM(G4:G27)</f>
        <v/>
      </c>
      <c r="H28" s="13">
        <f>SUM(H4:H27)</f>
        <v/>
      </c>
      <c r="I28" s="13">
        <f>SUM(I4:I27)</f>
        <v/>
      </c>
      <c r="J28" s="13">
        <f>SUM(J4:J27)</f>
        <v/>
      </c>
      <c r="K28" s="13">
        <f>SUM(K4:K27)</f>
        <v/>
      </c>
      <c r="L28" s="13">
        <f>SUM(L4:L27)</f>
        <v/>
      </c>
      <c r="M28" s="13">
        <f>SUM(M4:M27)</f>
        <v/>
      </c>
      <c r="N28" s="14">
        <f>SUM(N4:N27)</f>
        <v/>
      </c>
      <c r="O28" s="12" t="n"/>
      <c r="P28" s="13">
        <f>SUM(P4:P27)</f>
        <v/>
      </c>
      <c r="Q28" s="13">
        <f>SUM(Q4:Q27)</f>
        <v/>
      </c>
      <c r="R28" s="13">
        <f>SUM(R4:R27)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December 2019: hourly dispatch of the hybrid plant</t>
        </is>
      </c>
    </row>
    <row r="2">
      <c r="A2" s="2" t="inlineStr">
        <is>
          <t>Generated = what the installed units can produce. Used = delivered to demand. Surplus = generated − used (column formula).</t>
        </is>
      </c>
    </row>
    <row r="3" ht="62" customHeight="1">
      <c r="A3" s="3" t="inlineStr">
        <is>
          <t>Hour</t>
        </is>
      </c>
      <c r="B3" s="3" t="inlineStr">
        <is>
          <t>Irradiance
[W/m²]</t>
        </is>
      </c>
      <c r="C3" s="3" t="inlineStr">
        <is>
          <t>Wind speed
[m/s]</t>
        </is>
      </c>
      <c r="D3" s="3" t="inlineStr">
        <is>
          <t>Electricity demand
[GJ]</t>
        </is>
      </c>
      <c r="E3" s="3" t="inlineStr">
        <is>
          <t>CSP generated
[GJ]</t>
        </is>
      </c>
      <c r="F3" s="3" t="inlineStr">
        <is>
          <t>PVT generated
[GJ]</t>
        </is>
      </c>
      <c r="G3" s="3" t="inlineStr">
        <is>
          <t>Wind generated
[GJ]</t>
        </is>
      </c>
      <c r="H3" s="3" t="inlineStr">
        <is>
          <t>CSP used
[GJ]</t>
        </is>
      </c>
      <c r="I3" s="3" t="inlineStr">
        <is>
          <t>PVT used
[GJ]</t>
        </is>
      </c>
      <c r="J3" s="3" t="inlineStr">
        <is>
          <t>Wind used
[GJ]</t>
        </is>
      </c>
      <c r="K3" s="3" t="inlineStr">
        <is>
          <t>Ethanol-fired Rankine
[GJ]</t>
        </is>
      </c>
      <c r="L3" s="3" t="inlineStr">
        <is>
          <t>Unmet demand
[GJ]</t>
        </is>
      </c>
      <c r="M3" s="3" t="inlineStr">
        <is>
          <t>Surplus
[GJ]</t>
        </is>
      </c>
      <c r="N3" s="3" t="inlineStr">
        <is>
          <t>Ethanol burned
[kg/h]</t>
        </is>
      </c>
      <c r="O3" s="3" t="inlineStr">
        <is>
          <t>Ethanol burned
[kg/s]</t>
        </is>
      </c>
      <c r="P3" s="3" t="inlineStr">
        <is>
          <t>PVT heat
[GJ]</t>
        </is>
      </c>
      <c r="Q3" s="3" t="inlineStr">
        <is>
          <t>Heat demand
[GJ]</t>
        </is>
      </c>
      <c r="R3" s="3" t="inlineStr">
        <is>
          <t>Assignment 1: unmet
[GJ]</t>
        </is>
      </c>
    </row>
    <row r="4">
      <c r="A4" s="8" t="n">
        <v>0</v>
      </c>
      <c r="B4" s="9" t="n">
        <v>0</v>
      </c>
      <c r="C4" s="9" t="n">
        <v>0</v>
      </c>
      <c r="D4" s="9" t="n">
        <v>7.3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7.3</v>
      </c>
      <c r="L4" s="9" t="n">
        <v>0</v>
      </c>
      <c r="M4" s="9">
        <f>E4+F4+G4-H4-I4-J4</f>
        <v/>
      </c>
      <c r="N4" s="8" t="n">
        <v>649.336871</v>
      </c>
      <c r="O4" s="10">
        <f>N4/3600</f>
        <v/>
      </c>
      <c r="P4" s="9" t="n">
        <v>0</v>
      </c>
      <c r="Q4" s="9" t="n">
        <v>2.0493</v>
      </c>
      <c r="R4" s="9" t="n">
        <v>7.3</v>
      </c>
    </row>
    <row r="5">
      <c r="A5" s="8" t="n">
        <v>1</v>
      </c>
      <c r="B5" s="9" t="n">
        <v>0</v>
      </c>
      <c r="C5" s="9" t="n">
        <v>0</v>
      </c>
      <c r="D5" s="9" t="n">
        <v>5.3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5.3</v>
      </c>
      <c r="L5" s="9" t="n">
        <v>0</v>
      </c>
      <c r="M5" s="9">
        <f>E5+F5+G5-H5-I5-J5</f>
        <v/>
      </c>
      <c r="N5" s="8" t="n">
        <v>471.436358</v>
      </c>
      <c r="O5" s="10">
        <f>N5/3600</f>
        <v/>
      </c>
      <c r="P5" s="9" t="n">
        <v>0</v>
      </c>
      <c r="Q5" s="9" t="n">
        <v>1.6863</v>
      </c>
      <c r="R5" s="9" t="n">
        <v>5.3</v>
      </c>
    </row>
    <row r="6">
      <c r="A6" s="8" t="n">
        <v>2</v>
      </c>
      <c r="B6" s="9" t="n">
        <v>0</v>
      </c>
      <c r="C6" s="9" t="n">
        <v>0</v>
      </c>
      <c r="D6" s="9" t="n">
        <v>4.8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4.8</v>
      </c>
      <c r="L6" s="9" t="n">
        <v>0</v>
      </c>
      <c r="M6" s="9">
        <f>E6+F6+G6-H6-I6-J6</f>
        <v/>
      </c>
      <c r="N6" s="8" t="n">
        <v>426.96123</v>
      </c>
      <c r="O6" s="10">
        <f>N6/3600</f>
        <v/>
      </c>
      <c r="P6" s="9" t="n">
        <v>0</v>
      </c>
      <c r="Q6" s="9" t="n">
        <v>1.4883</v>
      </c>
      <c r="R6" s="9" t="n">
        <v>4.8</v>
      </c>
    </row>
    <row r="7">
      <c r="A7" s="8" t="n">
        <v>3</v>
      </c>
      <c r="B7" s="9" t="n">
        <v>0</v>
      </c>
      <c r="C7" s="9" t="n">
        <v>0</v>
      </c>
      <c r="D7" s="9" t="n">
        <v>4.3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4.3</v>
      </c>
      <c r="L7" s="9" t="n">
        <v>0</v>
      </c>
      <c r="M7" s="9">
        <f>E7+F7+G7-H7-I7-J7</f>
        <v/>
      </c>
      <c r="N7" s="8" t="n">
        <v>382.486102</v>
      </c>
      <c r="O7" s="10">
        <f>N7/3600</f>
        <v/>
      </c>
      <c r="P7" s="9" t="n">
        <v>0</v>
      </c>
      <c r="Q7" s="9" t="n">
        <v>1.1253</v>
      </c>
      <c r="R7" s="9" t="n">
        <v>4.3</v>
      </c>
    </row>
    <row r="8">
      <c r="A8" s="8" t="n">
        <v>4</v>
      </c>
      <c r="B8" s="9" t="n">
        <v>0</v>
      </c>
      <c r="C8" s="9" t="n">
        <v>0</v>
      </c>
      <c r="D8" s="9" t="n">
        <v>4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4</v>
      </c>
      <c r="L8" s="9" t="n">
        <v>0</v>
      </c>
      <c r="M8" s="9">
        <f>E8+F8+G8-H8-I8-J8</f>
        <v/>
      </c>
      <c r="N8" s="8" t="n">
        <v>355.801025</v>
      </c>
      <c r="O8" s="10">
        <f>N8/3600</f>
        <v/>
      </c>
      <c r="P8" s="9" t="n">
        <v>0</v>
      </c>
      <c r="Q8" s="9" t="n">
        <v>2.0493</v>
      </c>
      <c r="R8" s="9" t="n">
        <v>4</v>
      </c>
    </row>
    <row r="9">
      <c r="A9" s="8" t="n">
        <v>5</v>
      </c>
      <c r="B9" s="9" t="n">
        <v>0</v>
      </c>
      <c r="C9" s="9" t="n">
        <v>5.886111</v>
      </c>
      <c r="D9" s="9" t="n">
        <v>5.1</v>
      </c>
      <c r="E9" s="9" t="n">
        <v>0</v>
      </c>
      <c r="F9" s="9" t="n">
        <v>0</v>
      </c>
      <c r="G9" s="9" t="n">
        <v>11.375905</v>
      </c>
      <c r="H9" s="9" t="n">
        <v>0</v>
      </c>
      <c r="I9" s="9" t="n">
        <v>0</v>
      </c>
      <c r="J9" s="9" t="n">
        <v>5.1</v>
      </c>
      <c r="K9" s="9" t="n">
        <v>0</v>
      </c>
      <c r="L9" s="9" t="n">
        <v>0</v>
      </c>
      <c r="M9" s="9">
        <f>E9+F9+G9-H9-I9-J9</f>
        <v/>
      </c>
      <c r="N9" s="8" t="n">
        <v>0</v>
      </c>
      <c r="O9" s="10">
        <f>N9/3600</f>
        <v/>
      </c>
      <c r="P9" s="9" t="n">
        <v>0</v>
      </c>
      <c r="Q9" s="9" t="n">
        <v>4.0293</v>
      </c>
      <c r="R9" s="9" t="n">
        <v>5.1</v>
      </c>
    </row>
    <row r="10">
      <c r="A10" s="8" t="n">
        <v>6</v>
      </c>
      <c r="B10" s="9" t="n">
        <v>100</v>
      </c>
      <c r="C10" s="9" t="n">
        <v>5.902778</v>
      </c>
      <c r="D10" s="9" t="n">
        <v>10.1</v>
      </c>
      <c r="E10" s="9" t="n">
        <v>9.704483</v>
      </c>
      <c r="F10" s="9" t="n">
        <v>2.20009</v>
      </c>
      <c r="G10" s="9" t="n">
        <v>11.472812</v>
      </c>
      <c r="H10" s="9" t="n">
        <v>0</v>
      </c>
      <c r="I10" s="9" t="n">
        <v>0</v>
      </c>
      <c r="J10" s="9" t="n">
        <v>10.1</v>
      </c>
      <c r="K10" s="9" t="n">
        <v>0</v>
      </c>
      <c r="L10" s="9" t="n">
        <v>0</v>
      </c>
      <c r="M10" s="9">
        <f>E10+F10+G10-H10-I10-J10</f>
        <v/>
      </c>
      <c r="N10" s="8" t="n">
        <v>0</v>
      </c>
      <c r="O10" s="10">
        <f>N10/3600</f>
        <v/>
      </c>
      <c r="P10" s="9" t="n">
        <v>0</v>
      </c>
      <c r="Q10" s="9" t="n">
        <v>5.5143</v>
      </c>
      <c r="R10" s="9" t="n">
        <v>4.185037</v>
      </c>
    </row>
    <row r="11">
      <c r="A11" s="8" t="n">
        <v>7</v>
      </c>
      <c r="B11" s="9" t="n">
        <v>128</v>
      </c>
      <c r="C11" s="9" t="n">
        <v>5.916667</v>
      </c>
      <c r="D11" s="9" t="n">
        <v>18.7</v>
      </c>
      <c r="E11" s="9" t="n">
        <v>12.421738</v>
      </c>
      <c r="F11" s="9" t="n">
        <v>2.816115</v>
      </c>
      <c r="G11" s="9" t="n">
        <v>11.553988</v>
      </c>
      <c r="H11" s="9" t="n">
        <v>7.146012</v>
      </c>
      <c r="I11" s="9" t="n">
        <v>0</v>
      </c>
      <c r="J11" s="9" t="n">
        <v>11.553988</v>
      </c>
      <c r="K11" s="9" t="n">
        <v>0</v>
      </c>
      <c r="L11" s="9" t="n">
        <v>0</v>
      </c>
      <c r="M11" s="9">
        <f>E11+F11+G11-H11-I11-J11</f>
        <v/>
      </c>
      <c r="N11" s="8" t="n">
        <v>0</v>
      </c>
      <c r="O11" s="10">
        <f>N11/3600</f>
        <v/>
      </c>
      <c r="P11" s="9" t="n">
        <v>0</v>
      </c>
      <c r="Q11" s="9" t="n">
        <v>6.3393</v>
      </c>
      <c r="R11" s="9" t="n">
        <v>11.128848</v>
      </c>
    </row>
    <row r="12">
      <c r="A12" s="8" t="n">
        <v>8</v>
      </c>
      <c r="B12" s="9" t="n">
        <v>395</v>
      </c>
      <c r="C12" s="9" t="n">
        <v>5.930556</v>
      </c>
      <c r="D12" s="9" t="n">
        <v>37.1</v>
      </c>
      <c r="E12" s="9" t="n">
        <v>38.332707</v>
      </c>
      <c r="F12" s="9" t="n">
        <v>8.690353999999999</v>
      </c>
      <c r="G12" s="9" t="n">
        <v>11.635545</v>
      </c>
      <c r="H12" s="9" t="n">
        <v>25.464455</v>
      </c>
      <c r="I12" s="9" t="n">
        <v>0</v>
      </c>
      <c r="J12" s="9" t="n">
        <v>11.635545</v>
      </c>
      <c r="K12" s="9" t="n">
        <v>0</v>
      </c>
      <c r="L12" s="9" t="n">
        <v>0</v>
      </c>
      <c r="M12" s="9">
        <f>E12+F12+G12-H12-I12-J12</f>
        <v/>
      </c>
      <c r="N12" s="8" t="n">
        <v>0</v>
      </c>
      <c r="O12" s="10">
        <f>N12/3600</f>
        <v/>
      </c>
      <c r="P12" s="9" t="n">
        <v>9.506907999999999</v>
      </c>
      <c r="Q12" s="9" t="n">
        <v>6.9003</v>
      </c>
      <c r="R12" s="9" t="n">
        <v>13.735897</v>
      </c>
    </row>
    <row r="13">
      <c r="A13" s="8" t="n">
        <v>9</v>
      </c>
      <c r="B13" s="9" t="n">
        <v>562</v>
      </c>
      <c r="C13" s="9" t="n">
        <v>5.961111</v>
      </c>
      <c r="D13" s="9" t="n">
        <v>30.8</v>
      </c>
      <c r="E13" s="9" t="n">
        <v>54.539194</v>
      </c>
      <c r="F13" s="9" t="n">
        <v>12.364504</v>
      </c>
      <c r="G13" s="9" t="n">
        <v>11.81632</v>
      </c>
      <c r="H13" s="9" t="n">
        <v>18.98368</v>
      </c>
      <c r="I13" s="9" t="n">
        <v>0</v>
      </c>
      <c r="J13" s="9" t="n">
        <v>11.81632</v>
      </c>
      <c r="K13" s="9" t="n">
        <v>0</v>
      </c>
      <c r="L13" s="9" t="n">
        <v>0</v>
      </c>
      <c r="M13" s="9">
        <f>E13+F13+G13-H13-I13-J13</f>
        <v/>
      </c>
      <c r="N13" s="8" t="n">
        <v>0</v>
      </c>
      <c r="O13" s="10">
        <f>N13/3600</f>
        <v/>
      </c>
      <c r="P13" s="9" t="n">
        <v>25.322756</v>
      </c>
      <c r="Q13" s="9" t="n">
        <v>8.286300000000001</v>
      </c>
      <c r="R13" s="9" t="n">
        <v>0</v>
      </c>
    </row>
    <row r="14">
      <c r="A14" s="8" t="n">
        <v>10</v>
      </c>
      <c r="B14" s="9" t="n">
        <v>729</v>
      </c>
      <c r="C14" s="9" t="n">
        <v>6.194444</v>
      </c>
      <c r="D14" s="9" t="n">
        <v>19.5</v>
      </c>
      <c r="E14" s="9" t="n">
        <v>70.74567999999999</v>
      </c>
      <c r="F14" s="9" t="n">
        <v>16.038653</v>
      </c>
      <c r="G14" s="9" t="n">
        <v>13.258905</v>
      </c>
      <c r="H14" s="9" t="n">
        <v>6.241095</v>
      </c>
      <c r="I14" s="9" t="n">
        <v>0</v>
      </c>
      <c r="J14" s="9" t="n">
        <v>13.258905</v>
      </c>
      <c r="K14" s="9" t="n">
        <v>0</v>
      </c>
      <c r="L14" s="9" t="n">
        <v>0</v>
      </c>
      <c r="M14" s="9">
        <f>E14+F14+G14-H14-I14-J14</f>
        <v/>
      </c>
      <c r="N14" s="8" t="n">
        <v>0</v>
      </c>
      <c r="O14" s="10">
        <f>N14/3600</f>
        <v/>
      </c>
      <c r="P14" s="9" t="n">
        <v>41.734462</v>
      </c>
      <c r="Q14" s="9" t="n">
        <v>10.2003</v>
      </c>
      <c r="R14" s="9" t="n">
        <v>0</v>
      </c>
    </row>
    <row r="15">
      <c r="A15" s="8" t="n">
        <v>11</v>
      </c>
      <c r="B15" s="9" t="n">
        <v>912</v>
      </c>
      <c r="C15" s="9" t="n">
        <v>6.555556</v>
      </c>
      <c r="D15" s="9" t="n">
        <v>20.7</v>
      </c>
      <c r="E15" s="9" t="n">
        <v>88.504884</v>
      </c>
      <c r="F15" s="9" t="n">
        <v>20.064817</v>
      </c>
      <c r="G15" s="9" t="n">
        <v>15.715532</v>
      </c>
      <c r="H15" s="9" t="n">
        <v>4.984468</v>
      </c>
      <c r="I15" s="9" t="n">
        <v>0</v>
      </c>
      <c r="J15" s="9" t="n">
        <v>15.715532</v>
      </c>
      <c r="K15" s="9" t="n">
        <v>0</v>
      </c>
      <c r="L15" s="9" t="n">
        <v>0</v>
      </c>
      <c r="M15" s="9">
        <f>E15+F15+G15-H15-I15-J15</f>
        <v/>
      </c>
      <c r="N15" s="8" t="n">
        <v>0</v>
      </c>
      <c r="O15" s="10">
        <f>N15/3600</f>
        <v/>
      </c>
      <c r="P15" s="9" t="n">
        <v>57.588445</v>
      </c>
      <c r="Q15" s="9" t="n">
        <v>10.6953</v>
      </c>
      <c r="R15" s="9" t="n">
        <v>0</v>
      </c>
    </row>
    <row r="16">
      <c r="A16" s="8" t="n">
        <v>12</v>
      </c>
      <c r="B16" s="9" t="n">
        <v>1024</v>
      </c>
      <c r="C16" s="9" t="n">
        <v>6.638889</v>
      </c>
      <c r="D16" s="9" t="n">
        <v>17.1</v>
      </c>
      <c r="E16" s="9" t="n">
        <v>99.37390499999999</v>
      </c>
      <c r="F16" s="9" t="n">
        <v>22.528918</v>
      </c>
      <c r="G16" s="9" t="n">
        <v>16.322504</v>
      </c>
      <c r="H16" s="9" t="n">
        <v>0.777496</v>
      </c>
      <c r="I16" s="9" t="n">
        <v>0</v>
      </c>
      <c r="J16" s="9" t="n">
        <v>16.322504</v>
      </c>
      <c r="K16" s="9" t="n">
        <v>0</v>
      </c>
      <c r="L16" s="9" t="n">
        <v>0</v>
      </c>
      <c r="M16" s="9">
        <f>E16+F16+G16-H16-I16-J16</f>
        <v/>
      </c>
      <c r="N16" s="8" t="n">
        <v>0</v>
      </c>
      <c r="O16" s="10">
        <f>N16/3600</f>
        <v/>
      </c>
      <c r="P16" s="9" t="n">
        <v>67.98496900000001</v>
      </c>
      <c r="Q16" s="9" t="n">
        <v>11.9493</v>
      </c>
      <c r="R16" s="9" t="n">
        <v>0</v>
      </c>
    </row>
    <row r="17">
      <c r="A17" s="8" t="n">
        <v>13</v>
      </c>
      <c r="B17" s="9" t="n">
        <v>976</v>
      </c>
      <c r="C17" s="9" t="n">
        <v>6.666667</v>
      </c>
      <c r="D17" s="9" t="n">
        <v>18.2</v>
      </c>
      <c r="E17" s="9" t="n">
        <v>94.71575300000001</v>
      </c>
      <c r="F17" s="9" t="n">
        <v>21.472874</v>
      </c>
      <c r="G17" s="9" t="n">
        <v>16.528248</v>
      </c>
      <c r="H17" s="9" t="n">
        <v>1.671752</v>
      </c>
      <c r="I17" s="9" t="n">
        <v>0</v>
      </c>
      <c r="J17" s="9" t="n">
        <v>16.528248</v>
      </c>
      <c r="K17" s="9" t="n">
        <v>0</v>
      </c>
      <c r="L17" s="9" t="n">
        <v>0</v>
      </c>
      <c r="M17" s="9">
        <f>E17+F17+G17-H17-I17-J17</f>
        <v/>
      </c>
      <c r="N17" s="8" t="n">
        <v>0</v>
      </c>
      <c r="O17" s="10">
        <f>N17/3600</f>
        <v/>
      </c>
      <c r="P17" s="9" t="n">
        <v>65.487134</v>
      </c>
      <c r="Q17" s="9" t="n">
        <v>9.042</v>
      </c>
      <c r="R17" s="9" t="n">
        <v>0</v>
      </c>
    </row>
    <row r="18">
      <c r="A18" s="8" t="n">
        <v>14</v>
      </c>
      <c r="B18" s="9" t="n">
        <v>904</v>
      </c>
      <c r="C18" s="9" t="n">
        <v>6.472222</v>
      </c>
      <c r="D18" s="9" t="n">
        <v>18.9</v>
      </c>
      <c r="E18" s="9" t="n">
        <v>87.728525</v>
      </c>
      <c r="F18" s="9" t="n">
        <v>19.88881</v>
      </c>
      <c r="G18" s="9" t="n">
        <v>15.123797</v>
      </c>
      <c r="H18" s="9" t="n">
        <v>3.776203</v>
      </c>
      <c r="I18" s="9" t="n">
        <v>0</v>
      </c>
      <c r="J18" s="9" t="n">
        <v>15.123797</v>
      </c>
      <c r="K18" s="9" t="n">
        <v>0</v>
      </c>
      <c r="L18" s="9" t="n">
        <v>0</v>
      </c>
      <c r="M18" s="9">
        <f>E18+F18+G18-H18-I18-J18</f>
        <v/>
      </c>
      <c r="N18" s="8" t="n">
        <v>0</v>
      </c>
      <c r="O18" s="10">
        <f>N18/3600</f>
        <v/>
      </c>
      <c r="P18" s="9" t="n">
        <v>61.144523</v>
      </c>
      <c r="Q18" s="9" t="n">
        <v>10.758</v>
      </c>
      <c r="R18" s="9" t="n">
        <v>0</v>
      </c>
    </row>
    <row r="19">
      <c r="A19" s="8" t="n">
        <v>15</v>
      </c>
      <c r="B19" s="9" t="n">
        <v>811</v>
      </c>
      <c r="C19" s="9" t="n">
        <v>6.5</v>
      </c>
      <c r="D19" s="9" t="n">
        <v>22.7</v>
      </c>
      <c r="E19" s="9" t="n">
        <v>78.703356</v>
      </c>
      <c r="F19" s="9" t="n">
        <v>17.842727</v>
      </c>
      <c r="G19" s="9" t="n">
        <v>15.319361</v>
      </c>
      <c r="H19" s="9" t="n">
        <v>7.380639</v>
      </c>
      <c r="I19" s="9" t="n">
        <v>0</v>
      </c>
      <c r="J19" s="9" t="n">
        <v>15.319361</v>
      </c>
      <c r="K19" s="9" t="n">
        <v>0</v>
      </c>
      <c r="L19" s="9" t="n">
        <v>0</v>
      </c>
      <c r="M19" s="9">
        <f>E19+F19+G19-H19-I19-J19</f>
        <v/>
      </c>
      <c r="N19" s="8" t="n">
        <v>0</v>
      </c>
      <c r="O19" s="10">
        <f>N19/3600</f>
        <v/>
      </c>
      <c r="P19" s="9" t="n">
        <v>54.591877</v>
      </c>
      <c r="Q19" s="9" t="n">
        <v>12.342</v>
      </c>
      <c r="R19" s="9" t="n">
        <v>0</v>
      </c>
    </row>
    <row r="20">
      <c r="A20" s="8" t="n">
        <v>16</v>
      </c>
      <c r="B20" s="9" t="n">
        <v>699</v>
      </c>
      <c r="C20" s="9" t="n">
        <v>6.361111</v>
      </c>
      <c r="D20" s="9" t="n">
        <v>29.2</v>
      </c>
      <c r="E20" s="9" t="n">
        <v>67.83433599999999</v>
      </c>
      <c r="F20" s="9" t="n">
        <v>15.378626</v>
      </c>
      <c r="G20" s="9" t="n">
        <v>14.358185</v>
      </c>
      <c r="H20" s="9" t="n">
        <v>14.841815</v>
      </c>
      <c r="I20" s="9" t="n">
        <v>0</v>
      </c>
      <c r="J20" s="9" t="n">
        <v>14.358185</v>
      </c>
      <c r="K20" s="9" t="n">
        <v>0</v>
      </c>
      <c r="L20" s="9" t="n">
        <v>0</v>
      </c>
      <c r="M20" s="9">
        <f>E20+F20+G20-H20-I20-J20</f>
        <v/>
      </c>
      <c r="N20" s="8" t="n">
        <v>0</v>
      </c>
      <c r="O20" s="10">
        <f>N20/3600</f>
        <v/>
      </c>
      <c r="P20" s="9" t="n">
        <v>46.578784</v>
      </c>
      <c r="Q20" s="9" t="n">
        <v>12.738</v>
      </c>
      <c r="R20" s="9" t="n">
        <v>0</v>
      </c>
    </row>
    <row r="21">
      <c r="A21" s="8" t="n">
        <v>17</v>
      </c>
      <c r="B21" s="9" t="n">
        <v>550</v>
      </c>
      <c r="C21" s="9" t="n">
        <v>5.833333</v>
      </c>
      <c r="D21" s="9" t="n">
        <v>38.1</v>
      </c>
      <c r="E21" s="9" t="n">
        <v>53.374656</v>
      </c>
      <c r="F21" s="9" t="n">
        <v>12.100493</v>
      </c>
      <c r="G21" s="9" t="n">
        <v>11.072635</v>
      </c>
      <c r="H21" s="9" t="n">
        <v>27.027365</v>
      </c>
      <c r="I21" s="9" t="n">
        <v>0</v>
      </c>
      <c r="J21" s="9" t="n">
        <v>11.072635</v>
      </c>
      <c r="K21" s="9" t="n">
        <v>0</v>
      </c>
      <c r="L21" s="9" t="n">
        <v>0</v>
      </c>
      <c r="M21" s="9">
        <f>E21+F21+G21-H21-I21-J21</f>
        <v/>
      </c>
      <c r="N21" s="8" t="n">
        <v>0</v>
      </c>
      <c r="O21" s="10">
        <f>N21/3600</f>
        <v/>
      </c>
      <c r="P21" s="9" t="n">
        <v>33.338233</v>
      </c>
      <c r="Q21" s="9" t="n">
        <v>11.847</v>
      </c>
      <c r="R21" s="9" t="n">
        <v>5.567705</v>
      </c>
    </row>
    <row r="22">
      <c r="A22" s="8" t="n">
        <v>18</v>
      </c>
      <c r="B22" s="9" t="n">
        <v>500</v>
      </c>
      <c r="C22" s="9" t="n">
        <v>6.069444</v>
      </c>
      <c r="D22" s="9" t="n">
        <v>47.4</v>
      </c>
      <c r="E22" s="9" t="n">
        <v>48.522415</v>
      </c>
      <c r="F22" s="9" t="n">
        <v>11.000448</v>
      </c>
      <c r="G22" s="9" t="n">
        <v>12.472325</v>
      </c>
      <c r="H22" s="9" t="n">
        <v>34.927675</v>
      </c>
      <c r="I22" s="9" t="n">
        <v>0</v>
      </c>
      <c r="J22" s="9" t="n">
        <v>12.472325</v>
      </c>
      <c r="K22" s="9" t="n">
        <v>0</v>
      </c>
      <c r="L22" s="9" t="n">
        <v>0</v>
      </c>
      <c r="M22" s="9">
        <f>E22+F22+G22-H22-I22-J22</f>
        <v/>
      </c>
      <c r="N22" s="8" t="n">
        <v>0</v>
      </c>
      <c r="O22" s="10">
        <f>N22/3600</f>
        <v/>
      </c>
      <c r="P22" s="9" t="n">
        <v>28.899094</v>
      </c>
      <c r="Q22" s="9" t="n">
        <v>8.151</v>
      </c>
      <c r="R22" s="9" t="n">
        <v>17.825187</v>
      </c>
    </row>
    <row r="23">
      <c r="A23" s="8" t="n">
        <v>19</v>
      </c>
      <c r="B23" s="9" t="n">
        <v>364</v>
      </c>
      <c r="C23" s="9" t="n">
        <v>6.25</v>
      </c>
      <c r="D23" s="9" t="n">
        <v>62.1</v>
      </c>
      <c r="E23" s="9" t="n">
        <v>35.324318</v>
      </c>
      <c r="F23" s="9" t="n">
        <v>8.008326</v>
      </c>
      <c r="G23" s="9" t="n">
        <v>13.618856</v>
      </c>
      <c r="H23" s="9" t="n">
        <v>35.324318</v>
      </c>
      <c r="I23" s="9" t="n">
        <v>8.008326</v>
      </c>
      <c r="J23" s="9" t="n">
        <v>13.618856</v>
      </c>
      <c r="K23" s="9" t="n">
        <v>5.1485</v>
      </c>
      <c r="L23" s="9" t="n">
        <v>0</v>
      </c>
      <c r="M23" s="9">
        <f>E23+F23+G23-H23-I23-J23</f>
        <v/>
      </c>
      <c r="N23" s="8" t="n">
        <v>457.960374</v>
      </c>
      <c r="O23" s="10">
        <f>N23/3600</f>
        <v/>
      </c>
      <c r="P23" s="9" t="n">
        <v>17.253653</v>
      </c>
      <c r="Q23" s="9" t="n">
        <v>5.841</v>
      </c>
      <c r="R23" s="9" t="n">
        <v>40.569536</v>
      </c>
    </row>
    <row r="24">
      <c r="A24" s="8" t="n">
        <v>20</v>
      </c>
      <c r="B24" s="9" t="n">
        <v>149</v>
      </c>
      <c r="C24" s="9" t="n">
        <v>5.916667</v>
      </c>
      <c r="D24" s="9" t="n">
        <v>48.2</v>
      </c>
      <c r="E24" s="9" t="n">
        <v>14.45968</v>
      </c>
      <c r="F24" s="9" t="n">
        <v>3.278134</v>
      </c>
      <c r="G24" s="9" t="n">
        <v>11.553988</v>
      </c>
      <c r="H24" s="9" t="n">
        <v>14.45968</v>
      </c>
      <c r="I24" s="9" t="n">
        <v>3.278134</v>
      </c>
      <c r="J24" s="9" t="n">
        <v>11.553988</v>
      </c>
      <c r="K24" s="9" t="n">
        <v>18.908199</v>
      </c>
      <c r="L24" s="9" t="n">
        <v>0</v>
      </c>
      <c r="M24" s="9">
        <f>E24+F24+G24-H24-I24-J24</f>
        <v/>
      </c>
      <c r="N24" s="8" t="n">
        <v>1681.889187</v>
      </c>
      <c r="O24" s="10">
        <f>N24/3600</f>
        <v/>
      </c>
      <c r="P24" s="9" t="n">
        <v>0</v>
      </c>
      <c r="Q24" s="9" t="n">
        <v>3.399</v>
      </c>
      <c r="R24" s="9" t="n">
        <v>39.386706</v>
      </c>
    </row>
    <row r="25">
      <c r="A25" s="8" t="n">
        <v>21</v>
      </c>
      <c r="B25" s="9" t="n">
        <v>63</v>
      </c>
      <c r="C25" s="9" t="n">
        <v>0</v>
      </c>
      <c r="D25" s="9" t="n">
        <v>39.6</v>
      </c>
      <c r="E25" s="9" t="n">
        <v>6.113824</v>
      </c>
      <c r="F25" s="9" t="n">
        <v>1.386056</v>
      </c>
      <c r="G25" s="9" t="n">
        <v>0</v>
      </c>
      <c r="H25" s="9" t="n">
        <v>6.113824</v>
      </c>
      <c r="I25" s="9" t="n">
        <v>1.386056</v>
      </c>
      <c r="J25" s="9" t="n">
        <v>0</v>
      </c>
      <c r="K25" s="9" t="n">
        <v>32.100119</v>
      </c>
      <c r="L25" s="9" t="n">
        <v>0</v>
      </c>
      <c r="M25" s="9">
        <f>E25+F25+G25-H25-I25-J25</f>
        <v/>
      </c>
      <c r="N25" s="8" t="n">
        <v>2855.31384</v>
      </c>
      <c r="O25" s="10">
        <f>N25/3600</f>
        <v/>
      </c>
      <c r="P25" s="9" t="n">
        <v>0</v>
      </c>
      <c r="Q25" s="9" t="n">
        <v>2.574</v>
      </c>
      <c r="R25" s="9" t="n">
        <v>35.873574</v>
      </c>
    </row>
    <row r="26">
      <c r="A26" s="8" t="n">
        <v>22</v>
      </c>
      <c r="B26" s="9" t="n">
        <v>0</v>
      </c>
      <c r="C26" s="9" t="n">
        <v>0</v>
      </c>
      <c r="D26" s="9" t="n">
        <v>23.3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23.3</v>
      </c>
      <c r="L26" s="9" t="n">
        <v>0</v>
      </c>
      <c r="M26" s="9">
        <f>E26+F26+G26-H26-I26-J26</f>
        <v/>
      </c>
      <c r="N26" s="8" t="n">
        <v>2072.540971</v>
      </c>
      <c r="O26" s="10">
        <f>N26/3600</f>
        <v/>
      </c>
      <c r="P26" s="9" t="n">
        <v>0</v>
      </c>
      <c r="Q26" s="9" t="n">
        <v>1.914</v>
      </c>
      <c r="R26" s="9" t="n">
        <v>23.3</v>
      </c>
    </row>
    <row r="27">
      <c r="A27" s="8" t="n">
        <v>23</v>
      </c>
      <c r="B27" s="9" t="n">
        <v>0</v>
      </c>
      <c r="C27" s="9" t="n">
        <v>0</v>
      </c>
      <c r="D27" s="9" t="n">
        <v>9.4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9.4</v>
      </c>
      <c r="L27" s="9" t="n">
        <v>0</v>
      </c>
      <c r="M27" s="9">
        <f>E27+F27+G27-H27-I27-J27</f>
        <v/>
      </c>
      <c r="N27" s="8" t="n">
        <v>836.1324090000001</v>
      </c>
      <c r="O27" s="10">
        <f>N27/3600</f>
        <v/>
      </c>
      <c r="P27" s="9" t="n">
        <v>0</v>
      </c>
      <c r="Q27" s="9" t="n">
        <v>1.947</v>
      </c>
      <c r="R27" s="9" t="n">
        <v>9.4</v>
      </c>
    </row>
    <row r="28">
      <c r="A28" s="11" t="inlineStr">
        <is>
          <t>Day total</t>
        </is>
      </c>
      <c r="B28" s="12" t="n"/>
      <c r="C28" s="12" t="n"/>
      <c r="D28" s="13">
        <f>SUM(D4:D27)</f>
        <v/>
      </c>
      <c r="E28" s="13">
        <f>SUM(E4:E27)</f>
        <v/>
      </c>
      <c r="F28" s="13">
        <f>SUM(F4:F27)</f>
        <v/>
      </c>
      <c r="G28" s="13">
        <f>SUM(G4:G27)</f>
        <v/>
      </c>
      <c r="H28" s="13">
        <f>SUM(H4:H27)</f>
        <v/>
      </c>
      <c r="I28" s="13">
        <f>SUM(I4:I27)</f>
        <v/>
      </c>
      <c r="J28" s="13">
        <f>SUM(J4:J27)</f>
        <v/>
      </c>
      <c r="K28" s="13">
        <f>SUM(K4:K27)</f>
        <v/>
      </c>
      <c r="L28" s="13">
        <f>SUM(L4:L27)</f>
        <v/>
      </c>
      <c r="M28" s="13">
        <f>SUM(M4:M27)</f>
        <v/>
      </c>
      <c r="N28" s="14">
        <f>SUM(N4:N27)</f>
        <v/>
      </c>
      <c r="O28" s="12" t="n"/>
      <c r="P28" s="13">
        <f>SUM(P4:P27)</f>
        <v/>
      </c>
      <c r="Q28" s="13">
        <f>SUM(Q4:Q27)</f>
        <v/>
      </c>
      <c r="R28" s="13">
        <f>SUM(R4:R27)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6" customWidth="1" min="4" max="4"/>
    <col width="14" customWidth="1" min="5" max="5"/>
    <col width="18" customWidth="1" min="6" max="6"/>
    <col width="18" customWidth="1" min="7" max="7"/>
    <col width="16" customWidth="1" min="8" max="8"/>
    <col width="16" customWidth="1" min="9" max="9"/>
  </cols>
  <sheetData>
    <row r="1">
      <c r="A1" s="1" t="inlineStr">
        <is>
          <t>Q10: turbine efficiency between 75% and 95% of the Betz limit</t>
        </is>
      </c>
    </row>
    <row r="2">
      <c r="A2" s="2" t="inlineStr">
        <is>
          <t>Columns C-G: same plant as designed, dispatched without re-balancing the rules. Columns H-I: plant re-solved at that efficiency.</t>
        </is>
      </c>
    </row>
    <row r="3" ht="48" customHeight="1">
      <c r="A3" s="3" t="inlineStr">
        <is>
          <t>Efficiency
[% of Betz]</t>
        </is>
      </c>
      <c r="B3" s="3" t="inlineStr">
        <is>
          <t>Day</t>
        </is>
      </c>
      <c r="C3" s="3" t="inlineStr">
        <is>
          <t>Total electricity output
[GJ/day]</t>
        </is>
      </c>
      <c r="D3" s="3" t="inlineStr">
        <is>
          <t>Wind generated
[GJ/day]</t>
        </is>
      </c>
      <c r="E3" s="3" t="inlineStr">
        <is>
          <t>Wind used
[GJ/day]</t>
        </is>
      </c>
      <c r="F3" s="3" t="inlineStr">
        <is>
          <t>Ethanol-fired electricity
[GJ/day]</t>
        </is>
      </c>
      <c r="G3" s="3" t="inlineStr">
        <is>
          <t>CSP share of all
electricity produced</t>
        </is>
      </c>
      <c r="H3" s="3" t="inlineStr">
        <is>
          <t>Turbines needed
if re-sized</t>
        </is>
      </c>
      <c r="I3" s="3" t="inlineStr">
        <is>
          <t>Heliostats needed
if re-sized</t>
        </is>
      </c>
    </row>
    <row r="4">
      <c r="A4" t="n">
        <v>75</v>
      </c>
      <c r="B4" t="inlineStr">
        <is>
          <t>June</t>
        </is>
      </c>
      <c r="C4" t="n">
        <v>973.25</v>
      </c>
      <c r="D4" t="n">
        <v>120.96</v>
      </c>
      <c r="E4" t="n">
        <v>115.22</v>
      </c>
      <c r="F4" t="n">
        <v>126.11</v>
      </c>
      <c r="G4" s="15" t="n">
        <v>0.6082</v>
      </c>
      <c r="H4" t="n">
        <v>13</v>
      </c>
      <c r="I4" t="n">
        <v>558</v>
      </c>
    </row>
    <row r="5">
      <c r="A5" t="n">
        <v>75</v>
      </c>
      <c r="B5" t="inlineStr">
        <is>
          <t>December</t>
        </is>
      </c>
      <c r="C5" t="n">
        <v>1361.09</v>
      </c>
      <c r="D5" t="n">
        <v>188.12</v>
      </c>
      <c r="E5" t="n">
        <v>183.16</v>
      </c>
      <c r="F5" t="n">
        <v>117.52</v>
      </c>
      <c r="G5" s="15" t="n">
        <v>0.6321</v>
      </c>
      <c r="H5" t="n">
        <v>13</v>
      </c>
      <c r="I5" t="n">
        <v>558</v>
      </c>
    </row>
    <row r="6">
      <c r="A6" t="n">
        <v>76</v>
      </c>
      <c r="B6" t="inlineStr">
        <is>
          <t>June</t>
        </is>
      </c>
      <c r="C6" t="n">
        <v>974.58</v>
      </c>
      <c r="D6" t="n">
        <v>122.58</v>
      </c>
      <c r="E6" t="n">
        <v>116.7</v>
      </c>
      <c r="F6" t="n">
        <v>125.82</v>
      </c>
      <c r="G6" s="15" t="n">
        <v>0.6074000000000001</v>
      </c>
      <c r="H6" t="n">
        <v>13</v>
      </c>
      <c r="I6" t="n">
        <v>558</v>
      </c>
    </row>
    <row r="7">
      <c r="A7" t="n">
        <v>76</v>
      </c>
      <c r="B7" t="inlineStr">
        <is>
          <t>December</t>
        </is>
      </c>
      <c r="C7" t="n">
        <v>1363.31</v>
      </c>
      <c r="D7" t="n">
        <v>190.62</v>
      </c>
      <c r="E7" t="n">
        <v>185.4</v>
      </c>
      <c r="F7" t="n">
        <v>117.22</v>
      </c>
      <c r="G7" s="15" t="n">
        <v>0.6311</v>
      </c>
      <c r="H7" t="n">
        <v>13</v>
      </c>
      <c r="I7" t="n">
        <v>558</v>
      </c>
    </row>
    <row r="8">
      <c r="A8" t="n">
        <v>77</v>
      </c>
      <c r="B8" t="inlineStr">
        <is>
          <t>June</t>
        </is>
      </c>
      <c r="C8" t="n">
        <v>975.9</v>
      </c>
      <c r="D8" t="n">
        <v>124.19</v>
      </c>
      <c r="E8" t="n">
        <v>118.18</v>
      </c>
      <c r="F8" t="n">
        <v>125.54</v>
      </c>
      <c r="G8" s="15" t="n">
        <v>0.6066</v>
      </c>
      <c r="H8" t="n">
        <v>13</v>
      </c>
      <c r="I8" t="n">
        <v>560</v>
      </c>
    </row>
    <row r="9">
      <c r="A9" t="n">
        <v>77</v>
      </c>
      <c r="B9" t="inlineStr">
        <is>
          <t>December</t>
        </is>
      </c>
      <c r="C9" t="n">
        <v>1365.52</v>
      </c>
      <c r="D9" t="n">
        <v>193.13</v>
      </c>
      <c r="E9" t="n">
        <v>187.63</v>
      </c>
      <c r="F9" t="n">
        <v>116.93</v>
      </c>
      <c r="G9" s="15" t="n">
        <v>0.6301</v>
      </c>
      <c r="H9" t="n">
        <v>13</v>
      </c>
      <c r="I9" t="n">
        <v>560</v>
      </c>
    </row>
    <row r="10">
      <c r="A10" t="n">
        <v>78</v>
      </c>
      <c r="B10" t="inlineStr">
        <is>
          <t>June</t>
        </is>
      </c>
      <c r="C10" t="n">
        <v>977.23</v>
      </c>
      <c r="D10" t="n">
        <v>125.8</v>
      </c>
      <c r="E10" t="n">
        <v>119.66</v>
      </c>
      <c r="F10" t="n">
        <v>125.25</v>
      </c>
      <c r="G10" s="15" t="n">
        <v>0.6058</v>
      </c>
      <c r="H10" t="n">
        <v>13</v>
      </c>
      <c r="I10" t="n">
        <v>561</v>
      </c>
    </row>
    <row r="11">
      <c r="A11" t="n">
        <v>78</v>
      </c>
      <c r="B11" t="inlineStr">
        <is>
          <t>December</t>
        </is>
      </c>
      <c r="C11" t="n">
        <v>1367.73</v>
      </c>
      <c r="D11" t="n">
        <v>195.64</v>
      </c>
      <c r="E11" t="n">
        <v>189.87</v>
      </c>
      <c r="F11" t="n">
        <v>116.63</v>
      </c>
      <c r="G11" s="15" t="n">
        <v>0.6291</v>
      </c>
      <c r="H11" t="n">
        <v>13</v>
      </c>
      <c r="I11" t="n">
        <v>561</v>
      </c>
    </row>
    <row r="12">
      <c r="A12" t="n">
        <v>79</v>
      </c>
      <c r="B12" t="inlineStr">
        <is>
          <t>June</t>
        </is>
      </c>
      <c r="C12" t="n">
        <v>978.5599999999999</v>
      </c>
      <c r="D12" t="n">
        <v>127.42</v>
      </c>
      <c r="E12" t="n">
        <v>121.14</v>
      </c>
      <c r="F12" t="n">
        <v>124.96</v>
      </c>
      <c r="G12" s="15" t="n">
        <v>0.6049</v>
      </c>
      <c r="H12" t="n">
        <v>13</v>
      </c>
      <c r="I12" t="n">
        <v>563</v>
      </c>
    </row>
    <row r="13">
      <c r="A13" t="n">
        <v>79</v>
      </c>
      <c r="B13" t="inlineStr">
        <is>
          <t>December</t>
        </is>
      </c>
      <c r="C13" t="n">
        <v>1369.94</v>
      </c>
      <c r="D13" t="n">
        <v>198.15</v>
      </c>
      <c r="E13" t="n">
        <v>192.11</v>
      </c>
      <c r="F13" t="n">
        <v>116.33</v>
      </c>
      <c r="G13" s="15" t="n">
        <v>0.6281</v>
      </c>
      <c r="H13" t="n">
        <v>13</v>
      </c>
      <c r="I13" t="n">
        <v>563</v>
      </c>
    </row>
    <row r="14">
      <c r="A14" t="n">
        <v>80</v>
      </c>
      <c r="B14" t="inlineStr">
        <is>
          <t>June</t>
        </is>
      </c>
      <c r="C14" t="n">
        <v>979.89</v>
      </c>
      <c r="D14" t="n">
        <v>129.03</v>
      </c>
      <c r="E14" t="n">
        <v>122.62</v>
      </c>
      <c r="F14" t="n">
        <v>124.68</v>
      </c>
      <c r="G14" s="15" t="n">
        <v>0.6041</v>
      </c>
      <c r="H14" t="n">
        <v>13</v>
      </c>
      <c r="I14" t="n">
        <v>565</v>
      </c>
    </row>
    <row r="15">
      <c r="A15" t="n">
        <v>80</v>
      </c>
      <c r="B15" t="inlineStr">
        <is>
          <t>December</t>
        </is>
      </c>
      <c r="C15" t="n">
        <v>1372.15</v>
      </c>
      <c r="D15" t="n">
        <v>200.66</v>
      </c>
      <c r="E15" t="n">
        <v>194.35</v>
      </c>
      <c r="F15" t="n">
        <v>116.04</v>
      </c>
      <c r="G15" s="15" t="n">
        <v>0.627</v>
      </c>
      <c r="H15" t="n">
        <v>13</v>
      </c>
      <c r="I15" t="n">
        <v>565</v>
      </c>
    </row>
    <row r="16">
      <c r="A16" t="n">
        <v>81</v>
      </c>
      <c r="B16" t="inlineStr">
        <is>
          <t>June</t>
        </is>
      </c>
      <c r="C16" t="n">
        <v>981.21</v>
      </c>
      <c r="D16" t="n">
        <v>130.64</v>
      </c>
      <c r="E16" t="n">
        <v>124.1</v>
      </c>
      <c r="F16" t="n">
        <v>124.39</v>
      </c>
      <c r="G16" s="15" t="n">
        <v>0.6032999999999999</v>
      </c>
      <c r="H16" t="n">
        <v>12</v>
      </c>
      <c r="I16" t="n">
        <v>571</v>
      </c>
    </row>
    <row r="17">
      <c r="A17" t="n">
        <v>81</v>
      </c>
      <c r="B17" t="inlineStr">
        <is>
          <t>December</t>
        </is>
      </c>
      <c r="C17" t="n">
        <v>1374.37</v>
      </c>
      <c r="D17" t="n">
        <v>203.17</v>
      </c>
      <c r="E17" t="n">
        <v>196.59</v>
      </c>
      <c r="F17" t="n">
        <v>115.74</v>
      </c>
      <c r="G17" s="15" t="n">
        <v>0.626</v>
      </c>
      <c r="H17" t="n">
        <v>12</v>
      </c>
      <c r="I17" t="n">
        <v>571</v>
      </c>
    </row>
    <row r="18">
      <c r="A18" t="n">
        <v>82</v>
      </c>
      <c r="B18" t="inlineStr">
        <is>
          <t>June</t>
        </is>
      </c>
      <c r="C18" t="n">
        <v>982.54</v>
      </c>
      <c r="D18" t="n">
        <v>132.25</v>
      </c>
      <c r="E18" t="n">
        <v>125.58</v>
      </c>
      <c r="F18" t="n">
        <v>124.11</v>
      </c>
      <c r="G18" s="15" t="n">
        <v>0.6025</v>
      </c>
      <c r="H18" t="n">
        <v>12</v>
      </c>
      <c r="I18" t="n">
        <v>557</v>
      </c>
    </row>
    <row r="19">
      <c r="A19" t="n">
        <v>82</v>
      </c>
      <c r="B19" t="inlineStr">
        <is>
          <t>December</t>
        </is>
      </c>
      <c r="C19" t="n">
        <v>1376.58</v>
      </c>
      <c r="D19" t="n">
        <v>205.67</v>
      </c>
      <c r="E19" t="n">
        <v>198.83</v>
      </c>
      <c r="F19" t="n">
        <v>115.45</v>
      </c>
      <c r="G19" s="15" t="n">
        <v>0.625</v>
      </c>
      <c r="H19" t="n">
        <v>12</v>
      </c>
      <c r="I19" t="n">
        <v>557</v>
      </c>
    </row>
    <row r="20">
      <c r="A20" t="n">
        <v>83</v>
      </c>
      <c r="B20" t="inlineStr">
        <is>
          <t>June</t>
        </is>
      </c>
      <c r="C20" t="n">
        <v>983.87</v>
      </c>
      <c r="D20" t="n">
        <v>133.87</v>
      </c>
      <c r="E20" t="n">
        <v>127.06</v>
      </c>
      <c r="F20" t="n">
        <v>123.82</v>
      </c>
      <c r="G20" s="15" t="n">
        <v>0.6017</v>
      </c>
      <c r="H20" t="n">
        <v>12</v>
      </c>
      <c r="I20" t="n">
        <v>559</v>
      </c>
    </row>
    <row r="21">
      <c r="A21" t="n">
        <v>83</v>
      </c>
      <c r="B21" t="inlineStr">
        <is>
          <t>December</t>
        </is>
      </c>
      <c r="C21" t="n">
        <v>1378.79</v>
      </c>
      <c r="D21" t="n">
        <v>208.18</v>
      </c>
      <c r="E21" t="n">
        <v>201.07</v>
      </c>
      <c r="F21" t="n">
        <v>115.15</v>
      </c>
      <c r="G21" s="15" t="n">
        <v>0.624</v>
      </c>
      <c r="H21" t="n">
        <v>12</v>
      </c>
      <c r="I21" t="n">
        <v>559</v>
      </c>
    </row>
    <row r="22">
      <c r="A22" t="n">
        <v>84</v>
      </c>
      <c r="B22" t="inlineStr">
        <is>
          <t>June</t>
        </is>
      </c>
      <c r="C22" t="n">
        <v>985.2</v>
      </c>
      <c r="D22" t="n">
        <v>135.48</v>
      </c>
      <c r="E22" t="n">
        <v>128.53</v>
      </c>
      <c r="F22" t="n">
        <v>123.54</v>
      </c>
      <c r="G22" s="15" t="n">
        <v>0.6009</v>
      </c>
      <c r="H22" t="n">
        <v>12</v>
      </c>
      <c r="I22" t="n">
        <v>561</v>
      </c>
    </row>
    <row r="23">
      <c r="A23" t="n">
        <v>84</v>
      </c>
      <c r="B23" t="inlineStr">
        <is>
          <t>December</t>
        </is>
      </c>
      <c r="C23" t="n">
        <v>1381</v>
      </c>
      <c r="D23" t="n">
        <v>210.69</v>
      </c>
      <c r="E23" t="n">
        <v>203.31</v>
      </c>
      <c r="F23" t="n">
        <v>114.85</v>
      </c>
      <c r="G23" s="15" t="n">
        <v>0.623</v>
      </c>
      <c r="H23" t="n">
        <v>12</v>
      </c>
      <c r="I23" t="n">
        <v>561</v>
      </c>
    </row>
    <row r="24">
      <c r="A24" t="n">
        <v>85</v>
      </c>
      <c r="B24" t="inlineStr">
        <is>
          <t>June</t>
        </is>
      </c>
      <c r="C24" t="n">
        <v>986.53</v>
      </c>
      <c r="D24" t="n">
        <v>137.09</v>
      </c>
      <c r="E24" t="n">
        <v>130.01</v>
      </c>
      <c r="F24" t="n">
        <v>123.25</v>
      </c>
      <c r="G24" s="15" t="n">
        <v>0.6001</v>
      </c>
      <c r="H24" t="n">
        <v>12</v>
      </c>
      <c r="I24" t="n">
        <v>562</v>
      </c>
    </row>
    <row r="25">
      <c r="A25" t="n">
        <v>85</v>
      </c>
      <c r="B25" t="inlineStr">
        <is>
          <t>December</t>
        </is>
      </c>
      <c r="C25" t="n">
        <v>1383.22</v>
      </c>
      <c r="D25" t="n">
        <v>213.2</v>
      </c>
      <c r="E25" t="n">
        <v>205.55</v>
      </c>
      <c r="F25" t="n">
        <v>114.56</v>
      </c>
      <c r="G25" s="15" t="n">
        <v>0.622</v>
      </c>
      <c r="H25" t="n">
        <v>12</v>
      </c>
      <c r="I25" t="n">
        <v>562</v>
      </c>
    </row>
    <row r="26">
      <c r="A26" t="n">
        <v>86</v>
      </c>
      <c r="B26" t="inlineStr">
        <is>
          <t>June</t>
        </is>
      </c>
      <c r="C26" t="n">
        <v>987.85</v>
      </c>
      <c r="D26" t="n">
        <v>138.71</v>
      </c>
      <c r="E26" t="n">
        <v>131.49</v>
      </c>
      <c r="F26" t="n">
        <v>122.97</v>
      </c>
      <c r="G26" s="15" t="n">
        <v>0.5993000000000001</v>
      </c>
      <c r="H26" t="n">
        <v>12</v>
      </c>
      <c r="I26" t="n">
        <v>564</v>
      </c>
    </row>
    <row r="27">
      <c r="A27" t="n">
        <v>86</v>
      </c>
      <c r="B27" t="inlineStr">
        <is>
          <t>December</t>
        </is>
      </c>
      <c r="C27" t="n">
        <v>1385.43</v>
      </c>
      <c r="D27" t="n">
        <v>215.71</v>
      </c>
      <c r="E27" t="n">
        <v>207.79</v>
      </c>
      <c r="F27" t="n">
        <v>114.26</v>
      </c>
      <c r="G27" s="15" t="n">
        <v>0.621</v>
      </c>
      <c r="H27" t="n">
        <v>12</v>
      </c>
      <c r="I27" t="n">
        <v>564</v>
      </c>
    </row>
    <row r="28">
      <c r="A28" t="n">
        <v>87</v>
      </c>
      <c r="B28" t="inlineStr">
        <is>
          <t>June</t>
        </is>
      </c>
      <c r="C28" t="n">
        <v>989.1799999999999</v>
      </c>
      <c r="D28" t="n">
        <v>140.32</v>
      </c>
      <c r="E28" t="n">
        <v>132.97</v>
      </c>
      <c r="F28" t="n">
        <v>122.68</v>
      </c>
      <c r="G28" s="15" t="n">
        <v>0.5984</v>
      </c>
      <c r="H28" t="n">
        <v>12</v>
      </c>
      <c r="I28" t="n">
        <v>566</v>
      </c>
    </row>
    <row r="29">
      <c r="A29" t="n">
        <v>87</v>
      </c>
      <c r="B29" t="inlineStr">
        <is>
          <t>December</t>
        </is>
      </c>
      <c r="C29" t="n">
        <v>1387.64</v>
      </c>
      <c r="D29" t="n">
        <v>218.22</v>
      </c>
      <c r="E29" t="n">
        <v>210.03</v>
      </c>
      <c r="F29" t="n">
        <v>113.96</v>
      </c>
      <c r="G29" s="15" t="n">
        <v>0.62</v>
      </c>
      <c r="H29" t="n">
        <v>12</v>
      </c>
      <c r="I29" t="n">
        <v>566</v>
      </c>
    </row>
    <row r="30">
      <c r="A30" t="n">
        <v>88</v>
      </c>
      <c r="B30" t="inlineStr">
        <is>
          <t>June</t>
        </is>
      </c>
      <c r="C30" t="n">
        <v>990.51</v>
      </c>
      <c r="D30" t="n">
        <v>141.93</v>
      </c>
      <c r="E30" t="n">
        <v>134.45</v>
      </c>
      <c r="F30" t="n">
        <v>122.4</v>
      </c>
      <c r="G30" s="15" t="n">
        <v>0.5976</v>
      </c>
      <c r="H30" t="n">
        <v>12</v>
      </c>
      <c r="I30" t="n">
        <v>568</v>
      </c>
    </row>
    <row r="31">
      <c r="A31" t="n">
        <v>88</v>
      </c>
      <c r="B31" t="inlineStr">
        <is>
          <t>December</t>
        </is>
      </c>
      <c r="C31" t="n">
        <v>1389.85</v>
      </c>
      <c r="D31" t="n">
        <v>220.72</v>
      </c>
      <c r="E31" t="n">
        <v>212.27</v>
      </c>
      <c r="F31" t="n">
        <v>113.67</v>
      </c>
      <c r="G31" s="15" t="n">
        <v>0.6191</v>
      </c>
      <c r="H31" t="n">
        <v>12</v>
      </c>
      <c r="I31" t="n">
        <v>568</v>
      </c>
    </row>
    <row r="32">
      <c r="A32" t="n">
        <v>89</v>
      </c>
      <c r="B32" t="inlineStr">
        <is>
          <t>June</t>
        </is>
      </c>
      <c r="C32" t="n">
        <v>991.84</v>
      </c>
      <c r="D32" t="n">
        <v>143.54</v>
      </c>
      <c r="E32" t="n">
        <v>135.93</v>
      </c>
      <c r="F32" t="n">
        <v>122.11</v>
      </c>
      <c r="G32" s="15" t="n">
        <v>0.5968</v>
      </c>
      <c r="H32" t="n">
        <v>11</v>
      </c>
      <c r="I32" t="n">
        <v>556</v>
      </c>
    </row>
    <row r="33">
      <c r="A33" t="n">
        <v>89</v>
      </c>
      <c r="B33" t="inlineStr">
        <is>
          <t>December</t>
        </is>
      </c>
      <c r="C33" t="n">
        <v>1392.06</v>
      </c>
      <c r="D33" t="n">
        <v>223.23</v>
      </c>
      <c r="E33" t="n">
        <v>214.51</v>
      </c>
      <c r="F33" t="n">
        <v>113.37</v>
      </c>
      <c r="G33" s="15" t="n">
        <v>0.6181</v>
      </c>
      <c r="H33" t="n">
        <v>11</v>
      </c>
      <c r="I33" t="n">
        <v>556</v>
      </c>
    </row>
    <row r="34">
      <c r="A34" t="n">
        <v>90</v>
      </c>
      <c r="B34" t="inlineStr">
        <is>
          <t>June</t>
        </is>
      </c>
      <c r="C34" t="n">
        <v>993.16</v>
      </c>
      <c r="D34" t="n">
        <v>145.16</v>
      </c>
      <c r="E34" t="n">
        <v>137.41</v>
      </c>
      <c r="F34" t="n">
        <v>121.83</v>
      </c>
      <c r="G34" s="15" t="n">
        <v>0.596</v>
      </c>
      <c r="H34" t="n">
        <v>11</v>
      </c>
      <c r="I34" t="n">
        <v>558</v>
      </c>
    </row>
    <row r="35">
      <c r="A35" t="n">
        <v>90</v>
      </c>
      <c r="B35" t="inlineStr">
        <is>
          <t>December</t>
        </is>
      </c>
      <c r="C35" t="n">
        <v>1394.28</v>
      </c>
      <c r="D35" t="n">
        <v>225.74</v>
      </c>
      <c r="E35" t="n">
        <v>216.56</v>
      </c>
      <c r="F35" t="n">
        <v>113.08</v>
      </c>
      <c r="G35" s="15" t="n">
        <v>0.6171</v>
      </c>
      <c r="H35" t="n">
        <v>11</v>
      </c>
      <c r="I35" t="n">
        <v>558</v>
      </c>
    </row>
    <row r="36">
      <c r="A36" t="n">
        <v>91</v>
      </c>
      <c r="B36" t="inlineStr">
        <is>
          <t>June</t>
        </is>
      </c>
      <c r="C36" t="n">
        <v>994.49</v>
      </c>
      <c r="D36" t="n">
        <v>146.77</v>
      </c>
      <c r="E36" t="n">
        <v>138.89</v>
      </c>
      <c r="F36" t="n">
        <v>121.54</v>
      </c>
      <c r="G36" s="15" t="n">
        <v>0.5953000000000001</v>
      </c>
      <c r="H36" t="n">
        <v>11</v>
      </c>
      <c r="I36" t="n">
        <v>560</v>
      </c>
    </row>
    <row r="37">
      <c r="A37" t="n">
        <v>91</v>
      </c>
      <c r="B37" t="inlineStr">
        <is>
          <t>December</t>
        </is>
      </c>
      <c r="C37" t="n">
        <v>1396.49</v>
      </c>
      <c r="D37" t="n">
        <v>228.25</v>
      </c>
      <c r="E37" t="n">
        <v>218.61</v>
      </c>
      <c r="F37" t="n">
        <v>112.78</v>
      </c>
      <c r="G37" s="15" t="n">
        <v>0.6161</v>
      </c>
      <c r="H37" t="n">
        <v>11</v>
      </c>
      <c r="I37" t="n">
        <v>560</v>
      </c>
    </row>
    <row r="38">
      <c r="A38" t="n">
        <v>92</v>
      </c>
      <c r="B38" t="inlineStr">
        <is>
          <t>June</t>
        </is>
      </c>
      <c r="C38" t="n">
        <v>995.8200000000001</v>
      </c>
      <c r="D38" t="n">
        <v>148.38</v>
      </c>
      <c r="E38" t="n">
        <v>140.37</v>
      </c>
      <c r="F38" t="n">
        <v>121.26</v>
      </c>
      <c r="G38" s="15" t="n">
        <v>0.5945</v>
      </c>
      <c r="H38" t="n">
        <v>11</v>
      </c>
      <c r="I38" t="n">
        <v>561</v>
      </c>
    </row>
    <row r="39">
      <c r="A39" t="n">
        <v>92</v>
      </c>
      <c r="B39" t="inlineStr">
        <is>
          <t>December</t>
        </is>
      </c>
      <c r="C39" t="n">
        <v>1398.7</v>
      </c>
      <c r="D39" t="n">
        <v>230.76</v>
      </c>
      <c r="E39" t="n">
        <v>220.66</v>
      </c>
      <c r="F39" t="n">
        <v>112.48</v>
      </c>
      <c r="G39" s="15" t="n">
        <v>0.6151</v>
      </c>
      <c r="H39" t="n">
        <v>11</v>
      </c>
      <c r="I39" t="n">
        <v>561</v>
      </c>
    </row>
    <row r="40">
      <c r="A40" t="n">
        <v>93</v>
      </c>
      <c r="B40" t="inlineStr">
        <is>
          <t>June</t>
        </is>
      </c>
      <c r="C40" t="n">
        <v>997.15</v>
      </c>
      <c r="D40" t="n">
        <v>150</v>
      </c>
      <c r="E40" t="n">
        <v>141.85</v>
      </c>
      <c r="F40" t="n">
        <v>120.97</v>
      </c>
      <c r="G40" s="15" t="n">
        <v>0.5937</v>
      </c>
      <c r="H40" t="n">
        <v>11</v>
      </c>
      <c r="I40" t="n">
        <v>563</v>
      </c>
    </row>
    <row r="41">
      <c r="A41" t="n">
        <v>93</v>
      </c>
      <c r="B41" t="inlineStr">
        <is>
          <t>December</t>
        </is>
      </c>
      <c r="C41" t="n">
        <v>1400.91</v>
      </c>
      <c r="D41" t="n">
        <v>233.26</v>
      </c>
      <c r="E41" t="n">
        <v>222.71</v>
      </c>
      <c r="F41" t="n">
        <v>112.19</v>
      </c>
      <c r="G41" s="15" t="n">
        <v>0.6142</v>
      </c>
      <c r="H41" t="n">
        <v>11</v>
      </c>
      <c r="I41" t="n">
        <v>563</v>
      </c>
    </row>
    <row r="42">
      <c r="A42" t="n">
        <v>94</v>
      </c>
      <c r="B42" t="inlineStr">
        <is>
          <t>June</t>
        </is>
      </c>
      <c r="C42" t="n">
        <v>998.47</v>
      </c>
      <c r="D42" t="n">
        <v>151.61</v>
      </c>
      <c r="E42" t="n">
        <v>143.32</v>
      </c>
      <c r="F42" t="n">
        <v>120.69</v>
      </c>
      <c r="G42" s="15" t="n">
        <v>0.5929</v>
      </c>
      <c r="H42" t="n">
        <v>11</v>
      </c>
      <c r="I42" t="n">
        <v>564</v>
      </c>
    </row>
    <row r="43">
      <c r="A43" t="n">
        <v>94</v>
      </c>
      <c r="B43" t="inlineStr">
        <is>
          <t>December</t>
        </is>
      </c>
      <c r="C43" t="n">
        <v>1403.12</v>
      </c>
      <c r="D43" t="n">
        <v>235.77</v>
      </c>
      <c r="E43" t="n">
        <v>224.68</v>
      </c>
      <c r="F43" t="n">
        <v>111.89</v>
      </c>
      <c r="G43" s="15" t="n">
        <v>0.6132</v>
      </c>
      <c r="H43" t="n">
        <v>11</v>
      </c>
      <c r="I43" t="n">
        <v>564</v>
      </c>
    </row>
    <row r="44">
      <c r="A44" t="n">
        <v>95</v>
      </c>
      <c r="B44" t="inlineStr">
        <is>
          <t>June</t>
        </is>
      </c>
      <c r="C44" t="n">
        <v>999.8</v>
      </c>
      <c r="D44" t="n">
        <v>153.22</v>
      </c>
      <c r="E44" t="n">
        <v>144.8</v>
      </c>
      <c r="F44" t="n">
        <v>120.4</v>
      </c>
      <c r="G44" s="15" t="n">
        <v>0.5921</v>
      </c>
      <c r="H44" t="n">
        <v>11</v>
      </c>
      <c r="I44" t="n">
        <v>566</v>
      </c>
    </row>
    <row r="45">
      <c r="A45" t="n">
        <v>95</v>
      </c>
      <c r="B45" t="inlineStr">
        <is>
          <t>December</t>
        </is>
      </c>
      <c r="C45" t="n">
        <v>1405.34</v>
      </c>
      <c r="D45" t="n">
        <v>238.28</v>
      </c>
      <c r="E45" t="n">
        <v>226.53</v>
      </c>
      <c r="F45" t="n">
        <v>111.6</v>
      </c>
      <c r="G45" s="15" t="n">
        <v>0.6122</v>
      </c>
      <c r="H45" t="n">
        <v>11</v>
      </c>
      <c r="I45" t="n">
        <v>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20" customWidth="1" min="5" max="5"/>
    <col width="14" customWidth="1" min="6" max="6"/>
  </cols>
  <sheetData>
    <row r="1">
      <c r="A1" s="1" t="inlineStr">
        <is>
          <t>Wind vs ethanol: what each extra turbine changes</t>
        </is>
      </c>
    </row>
    <row r="2">
      <c r="A2" s="2" t="inlineStr">
        <is>
          <t>Turbine count fixed; heliostats, PVT and dispatch optimised without the wind &gt;= ethanol rule. The chosen design is where wind &gt;= ethanol on both days.</t>
        </is>
      </c>
    </row>
    <row r="3" ht="48" customHeight="1">
      <c r="A3" s="3" t="inlineStr">
        <is>
          <t>Wind turbines</t>
        </is>
      </c>
      <c r="B3" s="3" t="inlineStr">
        <is>
          <t>Day</t>
        </is>
      </c>
      <c r="C3" s="3" t="inlineStr">
        <is>
          <t>Heliostats</t>
        </is>
      </c>
      <c r="D3" s="3" t="inlineStr">
        <is>
          <t>Wind delivered
[GJ/day]</t>
        </is>
      </c>
      <c r="E3" s="3" t="inlineStr">
        <is>
          <t>Ethanol-fired electricity
[GJ/day]</t>
        </is>
      </c>
      <c r="F3" s="3" t="inlineStr">
        <is>
          <t>Surplus
[GJ/day]</t>
        </is>
      </c>
    </row>
    <row r="4">
      <c r="A4" t="n">
        <v>0</v>
      </c>
      <c r="B4" t="inlineStr">
        <is>
          <t>June</t>
        </is>
      </c>
      <c r="C4" t="n">
        <v>441</v>
      </c>
      <c r="D4" t="n">
        <v>0</v>
      </c>
      <c r="E4" t="n">
        <v>174.92</v>
      </c>
      <c r="F4" t="n">
        <v>335.34</v>
      </c>
    </row>
    <row r="5">
      <c r="A5" t="n">
        <v>0</v>
      </c>
      <c r="B5" t="inlineStr">
        <is>
          <t>December</t>
        </is>
      </c>
      <c r="C5" t="n">
        <v>441</v>
      </c>
      <c r="D5" t="n">
        <v>0</v>
      </c>
      <c r="E5" t="n">
        <v>163.29</v>
      </c>
      <c r="F5" t="n">
        <v>491.6</v>
      </c>
    </row>
    <row r="6">
      <c r="A6" t="n">
        <v>2</v>
      </c>
      <c r="B6" t="inlineStr">
        <is>
          <t>June</t>
        </is>
      </c>
      <c r="C6" t="n">
        <v>455</v>
      </c>
      <c r="D6" t="n">
        <v>22.85</v>
      </c>
      <c r="E6" t="n">
        <v>162.02</v>
      </c>
      <c r="F6" t="n">
        <v>360.04</v>
      </c>
    </row>
    <row r="7">
      <c r="A7" t="n">
        <v>2</v>
      </c>
      <c r="B7" t="inlineStr">
        <is>
          <t>December</t>
        </is>
      </c>
      <c r="C7" t="n">
        <v>455</v>
      </c>
      <c r="D7" t="n">
        <v>35.53</v>
      </c>
      <c r="E7" t="n">
        <v>153.28</v>
      </c>
      <c r="F7" t="n">
        <v>538.5599999999999</v>
      </c>
    </row>
    <row r="8">
      <c r="A8" t="n">
        <v>4</v>
      </c>
      <c r="B8" t="inlineStr">
        <is>
          <t>June</t>
        </is>
      </c>
      <c r="C8" t="n">
        <v>473</v>
      </c>
      <c r="D8" t="n">
        <v>45.37</v>
      </c>
      <c r="E8" t="n">
        <v>151.51</v>
      </c>
      <c r="F8" t="n">
        <v>391.34</v>
      </c>
    </row>
    <row r="9">
      <c r="A9" t="n">
        <v>4</v>
      </c>
      <c r="B9" t="inlineStr">
        <is>
          <t>December</t>
        </is>
      </c>
      <c r="C9" t="n">
        <v>473</v>
      </c>
      <c r="D9" t="n">
        <v>71.06999999999999</v>
      </c>
      <c r="E9" t="n">
        <v>143.08</v>
      </c>
      <c r="F9" t="n">
        <v>591.45</v>
      </c>
    </row>
    <row r="10">
      <c r="A10" t="n">
        <v>6</v>
      </c>
      <c r="B10" t="inlineStr">
        <is>
          <t>June</t>
        </is>
      </c>
      <c r="C10" t="n">
        <v>492</v>
      </c>
      <c r="D10" t="n">
        <v>67.16</v>
      </c>
      <c r="E10" t="n">
        <v>142.51</v>
      </c>
      <c r="F10" t="n">
        <v>425.2</v>
      </c>
    </row>
    <row r="11">
      <c r="A11" t="n">
        <v>6</v>
      </c>
      <c r="B11" t="inlineStr">
        <is>
          <t>December</t>
        </is>
      </c>
      <c r="C11" t="n">
        <v>492</v>
      </c>
      <c r="D11" t="n">
        <v>106.01</v>
      </c>
      <c r="E11" t="n">
        <v>134.11</v>
      </c>
      <c r="F11" t="n">
        <v>647.1</v>
      </c>
    </row>
    <row r="12">
      <c r="A12" t="n">
        <v>8</v>
      </c>
      <c r="B12" t="inlineStr">
        <is>
          <t>June</t>
        </is>
      </c>
      <c r="C12" t="n">
        <v>514</v>
      </c>
      <c r="D12" t="n">
        <v>88.11</v>
      </c>
      <c r="E12" t="n">
        <v>135.03</v>
      </c>
      <c r="F12" t="n">
        <v>463.74</v>
      </c>
    </row>
    <row r="13">
      <c r="A13" t="n">
        <v>8</v>
      </c>
      <c r="B13" t="inlineStr">
        <is>
          <t>December</t>
        </is>
      </c>
      <c r="C13" t="n">
        <v>514</v>
      </c>
      <c r="D13" t="n">
        <v>139.65</v>
      </c>
      <c r="E13" t="n">
        <v>127.72</v>
      </c>
      <c r="F13" t="n">
        <v>709.9299999999999</v>
      </c>
    </row>
    <row r="14">
      <c r="A14" t="n">
        <v>10</v>
      </c>
      <c r="B14" t="inlineStr">
        <is>
          <t>June</t>
        </is>
      </c>
      <c r="C14" t="n">
        <v>537</v>
      </c>
      <c r="D14" t="n">
        <v>109.06</v>
      </c>
      <c r="E14" t="n">
        <v>128.18</v>
      </c>
      <c r="F14" t="n">
        <v>503.97</v>
      </c>
    </row>
    <row r="15">
      <c r="A15" t="n">
        <v>10</v>
      </c>
      <c r="B15" t="inlineStr">
        <is>
          <t>December</t>
        </is>
      </c>
      <c r="C15" t="n">
        <v>537</v>
      </c>
      <c r="D15" t="n">
        <v>173.29</v>
      </c>
      <c r="E15" t="n">
        <v>121.24</v>
      </c>
      <c r="F15" t="n">
        <v>774.1900000000001</v>
      </c>
    </row>
    <row r="16">
      <c r="A16" s="16" t="n">
        <v>12</v>
      </c>
      <c r="B16" s="16" t="inlineStr">
        <is>
          <t>June</t>
        </is>
      </c>
      <c r="C16" s="16" t="n">
        <v>562</v>
      </c>
      <c r="D16" s="16" t="n">
        <v>130.01</v>
      </c>
      <c r="E16" s="16" t="n">
        <v>123.25</v>
      </c>
      <c r="F16" s="16" t="n">
        <v>548.23</v>
      </c>
    </row>
    <row r="17">
      <c r="A17" s="16" t="n">
        <v>12</v>
      </c>
      <c r="B17" s="16" t="inlineStr">
        <is>
          <t>December</t>
        </is>
      </c>
      <c r="C17" s="16" t="n">
        <v>562</v>
      </c>
      <c r="D17" s="16" t="n">
        <v>205.55</v>
      </c>
      <c r="E17" s="16" t="n">
        <v>114.56</v>
      </c>
      <c r="F17" s="16" t="n">
        <v>841.3200000000001</v>
      </c>
    </row>
    <row r="18">
      <c r="A18" t="n">
        <v>14</v>
      </c>
      <c r="B18" t="inlineStr">
        <is>
          <t>June</t>
        </is>
      </c>
      <c r="C18" t="n">
        <v>588</v>
      </c>
      <c r="D18" t="n">
        <v>150.9</v>
      </c>
      <c r="E18" t="n">
        <v>118.36</v>
      </c>
      <c r="F18" t="n">
        <v>593.5700000000001</v>
      </c>
    </row>
    <row r="19">
      <c r="A19" t="n">
        <v>14</v>
      </c>
      <c r="B19" t="inlineStr">
        <is>
          <t>December</t>
        </is>
      </c>
      <c r="C19" t="n">
        <v>588</v>
      </c>
      <c r="D19" t="n">
        <v>234.25</v>
      </c>
      <c r="E19" t="n">
        <v>107.78</v>
      </c>
      <c r="F19" t="n">
        <v>909.87</v>
      </c>
    </row>
    <row r="20">
      <c r="A20" t="n">
        <v>16</v>
      </c>
      <c r="B20" t="inlineStr">
        <is>
          <t>June</t>
        </is>
      </c>
      <c r="C20" t="n">
        <v>615</v>
      </c>
      <c r="D20" t="n">
        <v>170.96</v>
      </c>
      <c r="E20" t="n">
        <v>114.26</v>
      </c>
      <c r="F20" t="n">
        <v>640.75</v>
      </c>
    </row>
    <row r="21">
      <c r="A21" t="n">
        <v>16</v>
      </c>
      <c r="B21" t="inlineStr">
        <is>
          <t>December</t>
        </is>
      </c>
      <c r="C21" t="n">
        <v>615</v>
      </c>
      <c r="D21" t="n">
        <v>258.98</v>
      </c>
      <c r="E21" t="n">
        <v>103.62</v>
      </c>
      <c r="F21" t="n">
        <v>982.58</v>
      </c>
    </row>
    <row r="22">
      <c r="A22" t="n">
        <v>18</v>
      </c>
      <c r="B22" t="inlineStr">
        <is>
          <t>June</t>
        </is>
      </c>
      <c r="C22" t="n">
        <v>641</v>
      </c>
      <c r="D22" t="n">
        <v>189.7</v>
      </c>
      <c r="E22" t="n">
        <v>110.19</v>
      </c>
      <c r="F22" t="n">
        <v>686.92</v>
      </c>
    </row>
    <row r="23">
      <c r="A23" t="n">
        <v>18</v>
      </c>
      <c r="B23" t="inlineStr">
        <is>
          <t>December</t>
        </is>
      </c>
      <c r="C23" t="n">
        <v>641</v>
      </c>
      <c r="D23" t="n">
        <v>279.42</v>
      </c>
      <c r="E23" t="n">
        <v>100.74</v>
      </c>
      <c r="F23" t="n">
        <v>1055.04</v>
      </c>
    </row>
    <row r="24">
      <c r="A24" t="n">
        <v>20</v>
      </c>
      <c r="B24" t="inlineStr">
        <is>
          <t>June</t>
        </is>
      </c>
      <c r="C24" t="n">
        <v>668</v>
      </c>
      <c r="D24" t="n">
        <v>205.89</v>
      </c>
      <c r="E24" t="n">
        <v>106.09</v>
      </c>
      <c r="F24" t="n">
        <v>734.11</v>
      </c>
    </row>
    <row r="25">
      <c r="A25" t="n">
        <v>20</v>
      </c>
      <c r="B25" t="inlineStr">
        <is>
          <t>December</t>
        </is>
      </c>
      <c r="C25" t="n">
        <v>668</v>
      </c>
      <c r="D25" t="n">
        <v>295.21</v>
      </c>
      <c r="E25" t="n">
        <v>97.83</v>
      </c>
      <c r="F25" t="n">
        <v>1129</v>
      </c>
    </row>
    <row r="26">
      <c r="A26" t="n">
        <v>22</v>
      </c>
      <c r="B26" t="inlineStr">
        <is>
          <t>June</t>
        </is>
      </c>
      <c r="C26" t="n">
        <v>695</v>
      </c>
      <c r="D26" t="n">
        <v>220.15</v>
      </c>
      <c r="E26" t="n">
        <v>101.99</v>
      </c>
      <c r="F26" t="n">
        <v>781.3</v>
      </c>
    </row>
    <row r="27">
      <c r="A27" t="n">
        <v>22</v>
      </c>
      <c r="B27" t="inlineStr">
        <is>
          <t>December</t>
        </is>
      </c>
      <c r="C27" t="n">
        <v>695</v>
      </c>
      <c r="D27" t="n">
        <v>309.63</v>
      </c>
      <c r="E27" t="n">
        <v>94.91</v>
      </c>
      <c r="F27" t="n">
        <v>1202.95</v>
      </c>
    </row>
    <row r="28">
      <c r="A28" t="n">
        <v>24</v>
      </c>
      <c r="B28" t="inlineStr">
        <is>
          <t>June</t>
        </is>
      </c>
      <c r="C28" t="n">
        <v>722</v>
      </c>
      <c r="D28" t="n">
        <v>233.98</v>
      </c>
      <c r="E28" t="n">
        <v>97.89</v>
      </c>
      <c r="F28" t="n">
        <v>828.49</v>
      </c>
    </row>
    <row r="29">
      <c r="A29" t="n">
        <v>24</v>
      </c>
      <c r="B29" t="inlineStr">
        <is>
          <t>December</t>
        </is>
      </c>
      <c r="C29" t="n">
        <v>722</v>
      </c>
      <c r="D29" t="n">
        <v>324.06</v>
      </c>
      <c r="E29" t="n">
        <v>92</v>
      </c>
      <c r="F29" t="n">
        <v>1276.91</v>
      </c>
    </row>
    <row r="30">
      <c r="A30" t="n">
        <v>26</v>
      </c>
      <c r="B30" t="inlineStr">
        <is>
          <t>June</t>
        </is>
      </c>
      <c r="C30" t="n">
        <v>748</v>
      </c>
      <c r="D30" t="n">
        <v>246.21</v>
      </c>
      <c r="E30" t="n">
        <v>93.81999999999999</v>
      </c>
      <c r="F30" t="n">
        <v>874.66</v>
      </c>
    </row>
    <row r="31">
      <c r="A31" t="n">
        <v>26</v>
      </c>
      <c r="B31" t="inlineStr">
        <is>
          <t>December</t>
        </is>
      </c>
      <c r="C31" t="n">
        <v>748</v>
      </c>
      <c r="D31" t="n">
        <v>336.57</v>
      </c>
      <c r="E31" t="n">
        <v>89.12</v>
      </c>
      <c r="F31" t="n">
        <v>1349.37</v>
      </c>
    </row>
    <row r="32">
      <c r="A32" t="n">
        <v>28</v>
      </c>
      <c r="B32" t="inlineStr">
        <is>
          <t>June</t>
        </is>
      </c>
      <c r="C32" t="n">
        <v>775</v>
      </c>
      <c r="D32" t="n">
        <v>256.79</v>
      </c>
      <c r="E32" t="n">
        <v>89.72</v>
      </c>
      <c r="F32" t="n">
        <v>921.84</v>
      </c>
    </row>
    <row r="33">
      <c r="A33" t="n">
        <v>28</v>
      </c>
      <c r="B33" t="inlineStr">
        <is>
          <t>December</t>
        </is>
      </c>
      <c r="C33" t="n">
        <v>775</v>
      </c>
      <c r="D33" t="n">
        <v>348.6</v>
      </c>
      <c r="E33" t="n">
        <v>88.18000000000001</v>
      </c>
      <c r="F33" t="n">
        <v>1425.3</v>
      </c>
    </row>
    <row r="34">
      <c r="A34" t="n">
        <v>30</v>
      </c>
      <c r="B34" t="inlineStr">
        <is>
          <t>June</t>
        </is>
      </c>
      <c r="C34" t="n">
        <v>802</v>
      </c>
      <c r="D34" t="n">
        <v>265.88</v>
      </c>
      <c r="E34" t="n">
        <v>85.62</v>
      </c>
      <c r="F34" t="n">
        <v>969.03</v>
      </c>
    </row>
    <row r="35">
      <c r="A35" t="n">
        <v>30</v>
      </c>
      <c r="B35" t="inlineStr">
        <is>
          <t>December</t>
        </is>
      </c>
      <c r="C35" t="n">
        <v>802</v>
      </c>
      <c r="D35" t="n">
        <v>360.62</v>
      </c>
      <c r="E35" t="n">
        <v>87.89</v>
      </c>
      <c r="F35" t="n">
        <v>1501.88</v>
      </c>
    </row>
    <row r="36">
      <c r="A36" t="n">
        <v>32</v>
      </c>
      <c r="B36" t="inlineStr">
        <is>
          <t>June</t>
        </is>
      </c>
      <c r="C36" t="n">
        <v>834</v>
      </c>
      <c r="D36" t="n">
        <v>274.37</v>
      </c>
      <c r="E36" t="n">
        <v>81.34</v>
      </c>
      <c r="F36" t="n">
        <v>1021.31</v>
      </c>
    </row>
    <row r="37">
      <c r="A37" t="n">
        <v>32</v>
      </c>
      <c r="B37" t="inlineStr">
        <is>
          <t>December</t>
        </is>
      </c>
      <c r="C37" t="n">
        <v>834</v>
      </c>
      <c r="D37" t="n">
        <v>371.94</v>
      </c>
      <c r="E37" t="n">
        <v>87.54000000000001</v>
      </c>
      <c r="F37" t="n">
        <v>1586.05</v>
      </c>
    </row>
    <row r="38">
      <c r="A38" t="n">
        <v>34</v>
      </c>
      <c r="B38" t="inlineStr">
        <is>
          <t>June</t>
        </is>
      </c>
      <c r="C38" t="n">
        <v>869</v>
      </c>
      <c r="D38" t="n">
        <v>282.85</v>
      </c>
      <c r="E38" t="n">
        <v>76.95999999999999</v>
      </c>
      <c r="F38" t="n">
        <v>1076.64</v>
      </c>
    </row>
    <row r="39">
      <c r="A39" t="n">
        <v>34</v>
      </c>
      <c r="B39" t="inlineStr">
        <is>
          <t>December</t>
        </is>
      </c>
      <c r="C39" t="n">
        <v>869</v>
      </c>
      <c r="D39" t="n">
        <v>382</v>
      </c>
      <c r="E39" t="n">
        <v>87.16</v>
      </c>
      <c r="F39" t="n">
        <v>1674.79</v>
      </c>
    </row>
    <row r="40">
      <c r="A40" t="n">
        <v>36</v>
      </c>
      <c r="B40" t="inlineStr">
        <is>
          <t>June</t>
        </is>
      </c>
      <c r="C40" t="n">
        <v>903</v>
      </c>
      <c r="D40" t="n">
        <v>291.34</v>
      </c>
      <c r="E40" t="n">
        <v>72.61</v>
      </c>
      <c r="F40" t="n">
        <v>1130.95</v>
      </c>
    </row>
    <row r="41">
      <c r="A41" t="n">
        <v>36</v>
      </c>
      <c r="B41" t="inlineStr">
        <is>
          <t>December</t>
        </is>
      </c>
      <c r="C41" t="n">
        <v>903</v>
      </c>
      <c r="D41" t="n">
        <v>392.06</v>
      </c>
      <c r="E41" t="n">
        <v>86.79000000000001</v>
      </c>
      <c r="F41" t="n">
        <v>1762</v>
      </c>
    </row>
    <row r="42">
      <c r="A42" t="n">
        <v>38</v>
      </c>
      <c r="B42" t="inlineStr">
        <is>
          <t>June</t>
        </is>
      </c>
      <c r="C42" t="n">
        <v>938</v>
      </c>
      <c r="D42" t="n">
        <v>299.83</v>
      </c>
      <c r="E42" t="n">
        <v>68.23</v>
      </c>
      <c r="F42" t="n">
        <v>1186.29</v>
      </c>
    </row>
    <row r="43">
      <c r="A43" t="n">
        <v>38</v>
      </c>
      <c r="B43" t="inlineStr">
        <is>
          <t>December</t>
        </is>
      </c>
      <c r="C43" t="n">
        <v>938</v>
      </c>
      <c r="D43" t="n">
        <v>402.12</v>
      </c>
      <c r="E43" t="n">
        <v>86.41</v>
      </c>
      <c r="F43" t="n">
        <v>1850.74</v>
      </c>
    </row>
    <row r="44">
      <c r="A44" t="n">
        <v>40</v>
      </c>
      <c r="B44" t="inlineStr">
        <is>
          <t>June</t>
        </is>
      </c>
      <c r="C44" t="n">
        <v>972</v>
      </c>
      <c r="D44" t="n">
        <v>308.25</v>
      </c>
      <c r="E44" t="n">
        <v>63.88</v>
      </c>
      <c r="F44" t="n">
        <v>1240.6</v>
      </c>
    </row>
    <row r="45">
      <c r="A45" t="n">
        <v>40</v>
      </c>
      <c r="B45" t="inlineStr">
        <is>
          <t>December</t>
        </is>
      </c>
      <c r="C45" t="n">
        <v>972</v>
      </c>
      <c r="D45" t="n">
        <v>410.49</v>
      </c>
      <c r="E45" t="n">
        <v>86.04000000000001</v>
      </c>
      <c r="F45" t="n">
        <v>1937.96</v>
      </c>
    </row>
    <row r="46">
      <c r="A46" t="n">
        <v>42</v>
      </c>
      <c r="B46" t="inlineStr">
        <is>
          <t>June</t>
        </is>
      </c>
      <c r="C46" t="n">
        <v>1007</v>
      </c>
      <c r="D46" t="n">
        <v>315.11</v>
      </c>
      <c r="E46" t="n">
        <v>59.49</v>
      </c>
      <c r="F46" t="n">
        <v>1295.93</v>
      </c>
    </row>
    <row r="47">
      <c r="A47" t="n">
        <v>42</v>
      </c>
      <c r="B47" t="inlineStr">
        <is>
          <t>December</t>
        </is>
      </c>
      <c r="C47" t="n">
        <v>1007</v>
      </c>
      <c r="D47" t="n">
        <v>417.96</v>
      </c>
      <c r="E47" t="n">
        <v>85.66</v>
      </c>
      <c r="F47" t="n">
        <v>2026.69</v>
      </c>
    </row>
    <row r="48">
      <c r="A48" t="n">
        <v>44</v>
      </c>
      <c r="B48" t="inlineStr">
        <is>
          <t>June</t>
        </is>
      </c>
      <c r="C48" t="n">
        <v>1041</v>
      </c>
      <c r="D48" t="n">
        <v>321.98</v>
      </c>
      <c r="E48" t="n">
        <v>55.14</v>
      </c>
      <c r="F48" t="n">
        <v>1350.24</v>
      </c>
    </row>
    <row r="49">
      <c r="A49" t="n">
        <v>44</v>
      </c>
      <c r="B49" t="inlineStr">
        <is>
          <t>December</t>
        </is>
      </c>
      <c r="C49" t="n">
        <v>1041</v>
      </c>
      <c r="D49" t="n">
        <v>424.23</v>
      </c>
      <c r="E49" t="n">
        <v>85.29000000000001</v>
      </c>
      <c r="F49" t="n">
        <v>2113.91</v>
      </c>
    </row>
    <row r="50">
      <c r="A50" t="n">
        <v>46</v>
      </c>
      <c r="B50" t="inlineStr">
        <is>
          <t>June</t>
        </is>
      </c>
      <c r="C50" t="n">
        <v>1076</v>
      </c>
      <c r="D50" t="n">
        <v>328.85</v>
      </c>
      <c r="E50" t="n">
        <v>51.83</v>
      </c>
      <c r="F50" t="n">
        <v>1406.65</v>
      </c>
    </row>
    <row r="51">
      <c r="A51" t="n">
        <v>46</v>
      </c>
      <c r="B51" t="inlineStr">
        <is>
          <t>December</t>
        </is>
      </c>
      <c r="C51" t="n">
        <v>1076</v>
      </c>
      <c r="D51" t="n">
        <v>430.1</v>
      </c>
      <c r="E51" t="n">
        <v>84.91</v>
      </c>
      <c r="F51" t="n">
        <v>2202.64</v>
      </c>
    </row>
    <row r="52">
      <c r="A52" t="n">
        <v>48</v>
      </c>
      <c r="B52" t="inlineStr">
        <is>
          <t>June</t>
        </is>
      </c>
      <c r="C52" t="n">
        <v>1110</v>
      </c>
      <c r="D52" t="n">
        <v>335.64</v>
      </c>
      <c r="E52" t="n">
        <v>49.07</v>
      </c>
      <c r="F52" t="n">
        <v>1462.55</v>
      </c>
    </row>
    <row r="53">
      <c r="A53" t="n">
        <v>48</v>
      </c>
      <c r="B53" t="inlineStr">
        <is>
          <t>December</t>
        </is>
      </c>
      <c r="C53" t="n">
        <v>1110</v>
      </c>
      <c r="D53" t="n">
        <v>434.29</v>
      </c>
      <c r="E53" t="n">
        <v>84.54000000000001</v>
      </c>
      <c r="F53" t="n">
        <v>2289.86</v>
      </c>
    </row>
    <row r="54">
      <c r="A54" t="n">
        <v>50</v>
      </c>
      <c r="B54" t="inlineStr">
        <is>
          <t>June</t>
        </is>
      </c>
      <c r="C54" t="n">
        <v>1144</v>
      </c>
      <c r="D54" t="n">
        <v>341.39</v>
      </c>
      <c r="E54" t="n">
        <v>46.31</v>
      </c>
      <c r="F54" t="n">
        <v>1518.45</v>
      </c>
    </row>
    <row r="55">
      <c r="A55" t="n">
        <v>50</v>
      </c>
      <c r="B55" t="inlineStr">
        <is>
          <t>December</t>
        </is>
      </c>
      <c r="C55" t="n">
        <v>1144</v>
      </c>
      <c r="D55" t="n">
        <v>438.49</v>
      </c>
      <c r="E55" t="n">
        <v>84.17</v>
      </c>
      <c r="F55" t="n">
        <v>2377.08</v>
      </c>
    </row>
    <row r="56">
      <c r="A56" t="n">
        <v>52</v>
      </c>
      <c r="B56" t="inlineStr">
        <is>
          <t>June</t>
        </is>
      </c>
      <c r="C56" t="n">
        <v>1179</v>
      </c>
      <c r="D56" t="n">
        <v>347.13</v>
      </c>
      <c r="E56" t="n">
        <v>43.73</v>
      </c>
      <c r="F56" t="n">
        <v>1575.58</v>
      </c>
    </row>
    <row r="57">
      <c r="A57" t="n">
        <v>52</v>
      </c>
      <c r="B57" t="inlineStr">
        <is>
          <t>December</t>
        </is>
      </c>
      <c r="C57" t="n">
        <v>1179</v>
      </c>
      <c r="D57" t="n">
        <v>440.82</v>
      </c>
      <c r="E57" t="n">
        <v>83.79000000000001</v>
      </c>
      <c r="F57" t="n">
        <v>2465.81</v>
      </c>
    </row>
    <row r="58">
      <c r="A58" t="n">
        <v>54</v>
      </c>
      <c r="B58" t="inlineStr">
        <is>
          <t>June</t>
        </is>
      </c>
      <c r="C58" t="n">
        <v>1213</v>
      </c>
      <c r="D58" t="n">
        <v>352.88</v>
      </c>
      <c r="E58" t="n">
        <v>42.83</v>
      </c>
      <c r="F58" t="n">
        <v>1633.35</v>
      </c>
    </row>
    <row r="59">
      <c r="A59" t="n">
        <v>54</v>
      </c>
      <c r="B59" t="inlineStr">
        <is>
          <t>December</t>
        </is>
      </c>
      <c r="C59" t="n">
        <v>1213</v>
      </c>
      <c r="D59" t="n">
        <v>443.08</v>
      </c>
      <c r="E59" t="n">
        <v>83.42</v>
      </c>
      <c r="F59" t="n">
        <v>2553.03</v>
      </c>
    </row>
    <row r="60">
      <c r="A60" t="n">
        <v>56</v>
      </c>
      <c r="B60" t="inlineStr">
        <is>
          <t>June</t>
        </is>
      </c>
      <c r="C60" t="n">
        <v>1248</v>
      </c>
      <c r="D60" t="n">
        <v>357.88</v>
      </c>
      <c r="E60" t="n">
        <v>41.94</v>
      </c>
      <c r="F60" t="n">
        <v>1692.17</v>
      </c>
    </row>
    <row r="61">
      <c r="A61" t="n">
        <v>56</v>
      </c>
      <c r="B61" t="inlineStr">
        <is>
          <t>December</t>
        </is>
      </c>
      <c r="C61" t="n">
        <v>1248</v>
      </c>
      <c r="D61" t="n">
        <v>443.9</v>
      </c>
      <c r="E61" t="n">
        <v>83.04000000000001</v>
      </c>
      <c r="F61" t="n">
        <v>2641.76</v>
      </c>
    </row>
    <row r="62">
      <c r="A62" t="n">
        <v>58</v>
      </c>
      <c r="B62" t="inlineStr">
        <is>
          <t>June</t>
        </is>
      </c>
      <c r="C62" t="n">
        <v>1282</v>
      </c>
      <c r="D62" t="n">
        <v>362.12</v>
      </c>
      <c r="E62" t="n">
        <v>41.04</v>
      </c>
      <c r="F62" t="n">
        <v>1749.94</v>
      </c>
    </row>
    <row r="63">
      <c r="A63" t="n">
        <v>58</v>
      </c>
      <c r="B63" t="inlineStr">
        <is>
          <t>December</t>
        </is>
      </c>
      <c r="C63" t="n">
        <v>1282</v>
      </c>
      <c r="D63" t="n">
        <v>443.9</v>
      </c>
      <c r="E63" t="n">
        <v>82.67</v>
      </c>
      <c r="F63" t="n">
        <v>2728.98</v>
      </c>
    </row>
    <row r="64">
      <c r="A64" t="n">
        <v>60</v>
      </c>
      <c r="B64" t="inlineStr">
        <is>
          <t>June</t>
        </is>
      </c>
      <c r="C64" t="n">
        <v>1317</v>
      </c>
      <c r="D64" t="n">
        <v>366.35</v>
      </c>
      <c r="E64" t="n">
        <v>40.15</v>
      </c>
      <c r="F64" t="n">
        <v>1808.76</v>
      </c>
    </row>
    <row r="65">
      <c r="A65" t="n">
        <v>60</v>
      </c>
      <c r="B65" t="inlineStr">
        <is>
          <t>December</t>
        </is>
      </c>
      <c r="C65" t="n">
        <v>1317</v>
      </c>
      <c r="D65" t="n">
        <v>443.9</v>
      </c>
      <c r="E65" t="n">
        <v>82.29000000000001</v>
      </c>
      <c r="F65" t="n">
        <v>2817.72</v>
      </c>
    </row>
    <row r="66">
      <c r="A66" t="n">
        <v>62</v>
      </c>
      <c r="B66" t="inlineStr">
        <is>
          <t>June</t>
        </is>
      </c>
      <c r="C66" t="n">
        <v>1351</v>
      </c>
      <c r="D66" t="n">
        <v>370.1</v>
      </c>
      <c r="E66" t="n">
        <v>39.25</v>
      </c>
      <c r="F66" t="n">
        <v>1866.52</v>
      </c>
    </row>
    <row r="67">
      <c r="A67" t="n">
        <v>62</v>
      </c>
      <c r="B67" t="inlineStr">
        <is>
          <t>December</t>
        </is>
      </c>
      <c r="C67" t="n">
        <v>1351</v>
      </c>
      <c r="D67" t="n">
        <v>443.9</v>
      </c>
      <c r="E67" t="n">
        <v>81.92</v>
      </c>
      <c r="F67" t="n">
        <v>2904.93</v>
      </c>
    </row>
    <row r="68">
      <c r="A68" t="n">
        <v>64</v>
      </c>
      <c r="B68" t="inlineStr">
        <is>
          <t>June</t>
        </is>
      </c>
      <c r="C68" t="n">
        <v>1386</v>
      </c>
      <c r="D68" t="n">
        <v>373.25</v>
      </c>
      <c r="E68" t="n">
        <v>38.36</v>
      </c>
      <c r="F68" t="n">
        <v>1925.34</v>
      </c>
    </row>
    <row r="69">
      <c r="A69" t="n">
        <v>64</v>
      </c>
      <c r="B69" t="inlineStr">
        <is>
          <t>December</t>
        </is>
      </c>
      <c r="C69" t="n">
        <v>1386</v>
      </c>
      <c r="D69" t="n">
        <v>443.9</v>
      </c>
      <c r="E69" t="n">
        <v>81.54000000000001</v>
      </c>
      <c r="F69" t="n">
        <v>2993.67</v>
      </c>
    </row>
    <row r="70">
      <c r="A70" t="n">
        <v>66</v>
      </c>
      <c r="B70" t="inlineStr">
        <is>
          <t>June</t>
        </is>
      </c>
      <c r="C70" t="n">
        <v>1420</v>
      </c>
      <c r="D70" t="n">
        <v>376.39</v>
      </c>
      <c r="E70" t="n">
        <v>37.46</v>
      </c>
      <c r="F70" t="n">
        <v>1983.11</v>
      </c>
    </row>
    <row r="71">
      <c r="A71" t="n">
        <v>66</v>
      </c>
      <c r="B71" t="inlineStr">
        <is>
          <t>December</t>
        </is>
      </c>
      <c r="C71" t="n">
        <v>1420</v>
      </c>
      <c r="D71" t="n">
        <v>443.9</v>
      </c>
      <c r="E71" t="n">
        <v>81.17</v>
      </c>
      <c r="F71" t="n">
        <v>3080.88</v>
      </c>
    </row>
    <row r="72">
      <c r="A72" t="n">
        <v>68</v>
      </c>
      <c r="B72" t="inlineStr">
        <is>
          <t>June</t>
        </is>
      </c>
      <c r="C72" t="n">
        <v>1454</v>
      </c>
      <c r="D72" t="n">
        <v>379.54</v>
      </c>
      <c r="E72" t="n">
        <v>36.57</v>
      </c>
      <c r="F72" t="n">
        <v>2040.88</v>
      </c>
    </row>
    <row r="73">
      <c r="A73" t="n">
        <v>68</v>
      </c>
      <c r="B73" t="inlineStr">
        <is>
          <t>December</t>
        </is>
      </c>
      <c r="C73" t="n">
        <v>1454</v>
      </c>
      <c r="D73" t="n">
        <v>443.9</v>
      </c>
      <c r="E73" t="n">
        <v>80.8</v>
      </c>
      <c r="F73" t="n">
        <v>3168.1</v>
      </c>
    </row>
    <row r="74">
      <c r="A74" t="n">
        <v>70</v>
      </c>
      <c r="B74" t="inlineStr">
        <is>
          <t>June</t>
        </is>
      </c>
      <c r="C74" t="n">
        <v>1489</v>
      </c>
      <c r="D74" t="n">
        <v>382.68</v>
      </c>
      <c r="E74" t="n">
        <v>35.67</v>
      </c>
      <c r="F74" t="n">
        <v>2099.7</v>
      </c>
    </row>
    <row r="75">
      <c r="A75" t="n">
        <v>70</v>
      </c>
      <c r="B75" t="inlineStr">
        <is>
          <t>December</t>
        </is>
      </c>
      <c r="C75" t="n">
        <v>1489</v>
      </c>
      <c r="D75" t="n">
        <v>443.9</v>
      </c>
      <c r="E75" t="n">
        <v>80.42</v>
      </c>
      <c r="F75" t="n">
        <v>3256.84</v>
      </c>
    </row>
    <row r="76">
      <c r="A76" t="n">
        <v>72</v>
      </c>
      <c r="B76" t="inlineStr">
        <is>
          <t>June</t>
        </is>
      </c>
      <c r="C76" t="n">
        <v>1523</v>
      </c>
      <c r="D76" t="n">
        <v>385.83</v>
      </c>
      <c r="E76" t="n">
        <v>34.77</v>
      </c>
      <c r="F76" t="n">
        <v>2157.46</v>
      </c>
    </row>
    <row r="77">
      <c r="A77" t="n">
        <v>72</v>
      </c>
      <c r="B77" t="inlineStr">
        <is>
          <t>December</t>
        </is>
      </c>
      <c r="C77" t="n">
        <v>1523</v>
      </c>
      <c r="D77" t="n">
        <v>443.9</v>
      </c>
      <c r="E77" t="n">
        <v>80.05</v>
      </c>
      <c r="F77" t="n">
        <v>3344.05</v>
      </c>
    </row>
    <row r="78">
      <c r="A78" t="n">
        <v>74</v>
      </c>
      <c r="B78" t="inlineStr">
        <is>
          <t>June</t>
        </is>
      </c>
      <c r="C78" t="n">
        <v>1558</v>
      </c>
      <c r="D78" t="n">
        <v>388.97</v>
      </c>
      <c r="E78" t="n">
        <v>33.88</v>
      </c>
      <c r="F78" t="n">
        <v>2216.29</v>
      </c>
    </row>
    <row r="79">
      <c r="A79" t="n">
        <v>74</v>
      </c>
      <c r="B79" t="inlineStr">
        <is>
          <t>December</t>
        </is>
      </c>
      <c r="C79" t="n">
        <v>1558</v>
      </c>
      <c r="D79" t="n">
        <v>443.9</v>
      </c>
      <c r="E79" t="n">
        <v>79.66</v>
      </c>
      <c r="F79" t="n">
        <v>3432.79</v>
      </c>
    </row>
    <row r="80">
      <c r="A80" t="n">
        <v>76</v>
      </c>
      <c r="B80" t="inlineStr">
        <is>
          <t>June</t>
        </is>
      </c>
      <c r="C80" t="n">
        <v>1592</v>
      </c>
      <c r="D80" t="n">
        <v>391.9</v>
      </c>
      <c r="E80" t="n">
        <v>33.2</v>
      </c>
      <c r="F80" t="n">
        <v>2274.27</v>
      </c>
    </row>
    <row r="81">
      <c r="A81" t="n">
        <v>76</v>
      </c>
      <c r="B81" t="inlineStr">
        <is>
          <t>December</t>
        </is>
      </c>
      <c r="C81" t="n">
        <v>1592</v>
      </c>
      <c r="D81" t="n">
        <v>443.9</v>
      </c>
      <c r="E81" t="n">
        <v>79.3</v>
      </c>
      <c r="F81" t="n">
        <v>3520</v>
      </c>
    </row>
    <row r="82">
      <c r="A82" t="n">
        <v>78</v>
      </c>
      <c r="B82" t="inlineStr">
        <is>
          <t>June</t>
        </is>
      </c>
      <c r="C82" t="n">
        <v>1627</v>
      </c>
      <c r="D82" t="n">
        <v>394.15</v>
      </c>
      <c r="E82" t="n">
        <v>33.2</v>
      </c>
      <c r="F82" t="n">
        <v>2333.98</v>
      </c>
    </row>
    <row r="83">
      <c r="A83" t="n">
        <v>78</v>
      </c>
      <c r="B83" t="inlineStr">
        <is>
          <t>December</t>
        </is>
      </c>
      <c r="C83" t="n">
        <v>1627</v>
      </c>
      <c r="D83" t="n">
        <v>443.9</v>
      </c>
      <c r="E83" t="n">
        <v>78.91</v>
      </c>
      <c r="F83" t="n">
        <v>3608.74</v>
      </c>
    </row>
    <row r="84">
      <c r="A84" t="n">
        <v>80</v>
      </c>
      <c r="B84" t="inlineStr">
        <is>
          <t>June</t>
        </is>
      </c>
      <c r="C84" t="n">
        <v>1661</v>
      </c>
      <c r="D84" t="n">
        <v>396.4</v>
      </c>
      <c r="E84" t="n">
        <v>33.2</v>
      </c>
      <c r="F84" t="n">
        <v>2392.65</v>
      </c>
    </row>
    <row r="85">
      <c r="A85" t="n">
        <v>80</v>
      </c>
      <c r="B85" t="inlineStr">
        <is>
          <t>December</t>
        </is>
      </c>
      <c r="C85" t="n">
        <v>1661</v>
      </c>
      <c r="D85" t="n">
        <v>443.9</v>
      </c>
      <c r="E85" t="n">
        <v>78.54000000000001</v>
      </c>
      <c r="F85" t="n">
        <v>3695.95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2026-10-07T13:54:15Z</dcterms:created>
  <dcterms:modified xmlns:dcterms="http://purl.org/dc/terms/" xmlns:xsi="http://www.w3.org/2001/XMLSchema-instance" xsi:type="dcterms:W3CDTF">2026-10-07T13:54:15Z</dcterms:modified>
</cp:coreProperties>
</file>